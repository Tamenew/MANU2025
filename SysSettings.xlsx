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"/>
    </mc:Choice>
  </mc:AlternateContent>
  <xr:revisionPtr revIDLastSave="0" documentId="13_ncr:1_{DD50B1C3-540C-4672-AA35-42613FD40168}" xr6:coauthVersionLast="47" xr6:coauthVersionMax="47" xr10:uidLastSave="{00000000-0000-0000-0000-000000000000}"/>
  <bookViews>
    <workbookView xWindow="-120" yWindow="-120" windowWidth="29040" windowHeight="15720" tabRatio="853" activeTab="3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22" r:id="rId4"/>
    <sheet name="Constants" sheetId="20" r:id="rId5"/>
    <sheet name="Defaults" sheetId="21" r:id="rId6"/>
    <sheet name="Commodity Group" sheetId="15" r:id="rId7"/>
  </sheets>
  <externalReferences>
    <externalReference r:id="rId8"/>
  </externalReferences>
  <definedNames>
    <definedName name="FID_1">[1]AGR_Fuels!$A$2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0" l="1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35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11" i="20"/>
  <c r="E10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<sst xmlns="http://schemas.openxmlformats.org/spreadsheetml/2006/main" count="238" uniqueCount="156">
  <si>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</si>
  <si>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</si>
  <si>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</si>
  <si>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</si>
  <si>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</si>
  <si>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</si>
  <si>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</si>
  <si>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</si>
  <si>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</si>
  <si>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</si>
  <si>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</si>
  <si>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</si>
  <si>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</si>
  <si>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</si>
  <si>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</si>
  <si>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</si>
  <si>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</si>
  <si>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</si>
  <si>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</si>
  <si>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</si>
  <si>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</si>
  <si>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</si>
  <si>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</si>
  <si>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</si>
  <si>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</si>
  <si>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</si>
  <si>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</si>
  <si>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</si>
  <si>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</si>
  <si>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</si>
  <si>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</si>
  <si>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</si>
  <si>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</si>
  <si>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</si>
  <si>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</si>
  <si>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</si>
  <si>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</si>
  <si>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</si>
  <si>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</si>
  <si>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</si>
  <si>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</si>
  <si>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</si>
  <si>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</si>
  <si>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</si>
  <si>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</si>
  <si>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</si>
  <si>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</si>
  <si>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</si>
  <si>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</si>
  <si>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</si>
  <si>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</si>
  <si>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</si>
  <si>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</si>
  <si>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</si>
  <si>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</si>
  <si>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PRI</t>
  </si>
  <si>
    <t>REG2</t>
  </si>
  <si>
    <t>DumVarforUC</t>
  </si>
  <si>
    <t>REG</t>
  </si>
  <si>
    <t>~TFM_MIG</t>
  </si>
  <si>
    <t>Year2</t>
  </si>
  <si>
    <t>ETH</t>
  </si>
  <si>
    <t>D</t>
  </si>
  <si>
    <t>W</t>
  </si>
  <si>
    <t>TH$2022</t>
  </si>
  <si>
    <t>* Wet Season (W(June 08 to September 05</t>
  </si>
  <si>
    <t>_01</t>
  </si>
  <si>
    <t>_02</t>
  </si>
  <si>
    <t>_03</t>
  </si>
  <si>
    <t>_04</t>
  </si>
  <si>
    <t>_05</t>
  </si>
  <si>
    <t>_06</t>
  </si>
  <si>
    <t>_07</t>
  </si>
  <si>
    <t>_08</t>
  </si>
  <si>
    <t>_09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</si>
  <si>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</si>
  <si>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</si>
  <si>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</si>
  <si>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</si>
  <si>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</si>
  <si>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</si>
  <si>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</si>
  <si>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</si>
  <si>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</si>
  <si>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</si>
  <si>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</si>
  <si>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</si>
  <si>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</si>
  <si>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</si>
  <si>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</si>
  <si>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</si>
  <si>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</si>
  <si>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~Milestoneyears</t>
  </si>
  <si>
    <t>type</t>
  </si>
  <si>
    <t>milestoneyear</t>
  </si>
  <si>
    <t>endyear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</si>
  <si>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</si>
  <si>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</si>
  <si>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</si>
  <si>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</si>
  <si>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</si>
  <si>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</si>
  <si>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</si>
  <si>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</si>
  <si>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</si>
  <si>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</si>
  <si>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</si>
  <si>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</si>
  <si>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</si>
  <si>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</si>
  <si>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</si>
  <si>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</si>
  <si>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</si>
  <si>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</si>
  <si>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</si>
  <si>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</si>
  <si>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</si>
  <si>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</si>
  <si>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</si>
  <si>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</si>
  <si>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</si>
  <si>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</si>
  <si>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</si>
  <si>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</si>
  <si>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</si>
  <si>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</si>
  <si>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</si>
  <si>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</si>
  <si>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</si>
  <si>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</si>
  <si>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</si>
  <si>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</si>
  <si>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</si>
  <si>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</si>
  <si>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</si>
  <si>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</si>
  <si>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</si>
  <si>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</si>
  <si>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</si>
  <si>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</si>
  <si>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</si>
  <si>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</si>
  <si>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</si>
  <si>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</si>
  <si>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GWh</t>
  </si>
  <si>
    <t>MW</t>
  </si>
  <si>
    <t>UP</t>
  </si>
  <si>
    <t>ACT_BND</t>
  </si>
  <si>
    <t>Share-O</t>
  </si>
  <si>
    <t>Share-I</t>
  </si>
  <si>
    <t>msy09/2050</t>
  </si>
  <si>
    <t>Year</t>
  </si>
  <si>
    <t>~TFM_UPD</t>
  </si>
  <si>
    <t>NCAP_BND</t>
  </si>
  <si>
    <t>UP,LO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</si>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</sst>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1" applyFont="1" applyFill="1" applyBorder="1" applyAlignment="1">
      <alignment horizontal="center" wrapText="1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1" applyNumberFormat="1"/>
    <xf numFmtId="0" fontId="5" fillId="9" borderId="1" xfId="0" applyFont="1" applyFill="1" applyBorder="1"/>
    <xf numFmtId="0" fontId="1" fillId="7" borderId="3" xfId="0" applyFont="1" applyFill="1" applyBorder="1"/>
    <xf numFmtId="0" fontId="5" fillId="8" borderId="0" xfId="0" applyFont="1" applyFill="1"/>
    <xf numFmtId="0" fontId="5" fillId="3" borderId="0" xfId="0" applyFont="1" applyFill="1"/>
    <xf numFmtId="0" fontId="1" fillId="7" borderId="4" xfId="0" applyFont="1" applyFill="1" applyBorder="1"/>
    <xf numFmtId="0" fontId="1" fillId="7" borderId="0" xfId="0" applyFont="1" applyFill="1"/>
    <xf numFmtId="0" fontId="0" fillId="0" borderId="0" xfId="0" applyAlignment="1">
      <alignment horizontal="center"/>
    </xf>
    <xf numFmtId="0" fontId="0" fillId="10" borderId="0" xfId="0" applyFill="1"/>
    <xf numFmtId="0" fontId="5" fillId="10" borderId="0" xfId="0" applyFont="1" applyFill="1"/>
    <xf numFmtId="0" fontId="5" fillId="11" borderId="0" xfId="0" applyFont="1" applyFill="1"/>
    <xf numFmtId="0" fontId="12" fillId="10" borderId="0" xfId="0" applyFont="1" applyFill="1"/>
    <xf numFmtId="0" fontId="12" fillId="0" borderId="0" xfId="0" applyFont="1"/>
  </cellXfs>
  <cellStyles count="5">
    <cellStyle name="Normal" xfId="0" builtinId="0"/>
    <cellStyle name="Normal 10" xfId="1" xr:uid="{00000000-0005-0000-0000-000001000000}"/>
    <cellStyle name="Normal 2" xfId="2" xr:uid="{00000000-0005-0000-0000-000002000000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38100</xdr:rowOff>
    </xdr:from>
    <xdr:to>
      <xdr:col>5</xdr:col>
      <xdr:colOff>485775</xdr:colOff>
      <xdr:row>18</xdr:row>
      <xdr:rowOff>108640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C39D-F00A-4172-98CF-BF3BF1F49F3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6EA28F-ED80-43A2-80B0-121C17FBF1CC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</xdr:colOff>
      <xdr:row>4</xdr:row>
      <xdr:rowOff>41909</xdr:rowOff>
    </xdr:from>
    <xdr:to>
      <xdr:col>16</xdr:col>
      <xdr:colOff>291465</xdr:colOff>
      <xdr:row>19</xdr:row>
      <xdr:rowOff>5722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5EBF5-19B2-4F27-A005-558624CC7A4D}"/>
            </a:ext>
          </a:extLst>
        </xdr:cNvPr>
        <xdr:cNvSpPr txBox="1"/>
      </xdr:nvSpPr>
      <xdr:spPr>
        <a:xfrm>
          <a:off x="6280784" y="712469"/>
          <a:ext cx="6560821" cy="19678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118186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87FCC-B6FC-4E0D-89C3-A8DBA236C214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0CDD2-5FEF-4FCD-A826-306889E4ED0A}"/>
            </a:ext>
          </a:extLst>
        </xdr:cNvPr>
        <xdr:cNvSpPr txBox="1"/>
      </xdr:nvSpPr>
      <xdr:spPr>
        <a:xfrm>
          <a:off x="6715125" y="171450"/>
          <a:ext cx="5953125" cy="25336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180975</xdr:colOff>
      <xdr:row>11</xdr:row>
      <xdr:rowOff>133350</xdr:rowOff>
    </xdr:from>
    <xdr:ext cx="6134100" cy="2943225"/>
    <xdr:pic>
      <xdr:nvPicPr>
        <xdr:cNvPr id="3" name="Picture 2">
          <a:extLst>
            <a:ext uri="{FF2B5EF4-FFF2-40B4-BE49-F238E27FC236}">
              <a16:creationId xmlns:a16="http://schemas.microsoft.com/office/drawing/2014/main" id="{4FEB2A17-C0E1-4917-8185-BA41450B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28750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2539</xdr:colOff>
      <xdr:row>4</xdr:row>
      <xdr:rowOff>31753</xdr:rowOff>
    </xdr:from>
    <xdr:to>
      <xdr:col>20</xdr:col>
      <xdr:colOff>74089</xdr:colOff>
      <xdr:row>20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832E1-1640-4C59-A37A-44822B91D299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0"/>
  <sheetViews>
    <sheetView zoomScaleNormal="100" workbookViewId="0">
      <selection activeCell="J4" sqref="J4"/>
    </sheetView>
  </sheetViews>
  <sheetFormatPr defaultRowHeight="12.75" x14ac:dyDescent="0.2"/>
  <cols>
    <col min="1" max="1" width="2.140625" customWidth="1"/>
    <col min="2" max="2" width="19.140625" bestFit="1" customWidth="1"/>
    <col min="3" max="3" width="14.5703125" customWidth="1"/>
    <col min="8" max="8" width="29.42578125" customWidth="1"/>
  </cols>
  <sheetData>
    <row r="3" spans="2:10" x14ac:dyDescent="0.2">
      <c r="B3" s="1" t="s">
        <v>9</v>
      </c>
      <c r="H3" s="1" t="s">
        <v>10</v>
      </c>
      <c r="I3" s="3"/>
      <c r="J3" s="3"/>
    </row>
    <row r="4" spans="2:10" x14ac:dyDescent="0.2">
      <c r="B4" s="2" t="s">
        <v>14</v>
      </c>
      <c r="C4" s="2" t="s">
        <v>15</v>
      </c>
      <c r="H4" s="2" t="s">
        <v>11</v>
      </c>
      <c r="I4" s="2" t="s">
        <v>12</v>
      </c>
      <c r="J4" s="2" t="s">
        <v>13</v>
      </c>
    </row>
    <row r="5" spans="2:10" x14ac:dyDescent="0.2">
      <c r="B5" s="16" t="s">
        <v>58</v>
      </c>
      <c r="C5" s="4" t="s">
        <v>61</v>
      </c>
      <c r="H5" s="21" t="s">
        <v>63</v>
      </c>
      <c r="J5" t="s">
        <v>66</v>
      </c>
    </row>
    <row r="6" spans="2:10" x14ac:dyDescent="0.2">
      <c r="H6" t="s">
        <v>62</v>
      </c>
      <c r="J6" t="s">
        <v>67</v>
      </c>
    </row>
    <row r="7" spans="2:10" x14ac:dyDescent="0.2">
      <c r="J7" t="s">
        <v>68</v>
      </c>
    </row>
    <row r="8" spans="2:10" x14ac:dyDescent="0.2">
      <c r="J8" t="s">
        <v>69</v>
      </c>
    </row>
    <row r="9" spans="2:10" x14ac:dyDescent="0.2">
      <c r="J9" t="s">
        <v>70</v>
      </c>
    </row>
    <row r="10" spans="2:10" x14ac:dyDescent="0.2">
      <c r="J10" t="s">
        <v>71</v>
      </c>
    </row>
    <row r="11" spans="2:10" x14ac:dyDescent="0.2">
      <c r="J11" t="s">
        <v>72</v>
      </c>
    </row>
    <row r="12" spans="2:10" x14ac:dyDescent="0.2">
      <c r="J12" t="s">
        <v>73</v>
      </c>
    </row>
    <row r="13" spans="2:10" x14ac:dyDescent="0.2">
      <c r="J13" t="s">
        <v>74</v>
      </c>
    </row>
    <row r="14" spans="2:10" x14ac:dyDescent="0.2">
      <c r="J14" t="s">
        <v>75</v>
      </c>
    </row>
    <row r="15" spans="2:10" x14ac:dyDescent="0.2">
      <c r="J15" t="s">
        <v>76</v>
      </c>
    </row>
    <row r="16" spans="2:10" x14ac:dyDescent="0.2">
      <c r="J16" t="s">
        <v>77</v>
      </c>
    </row>
    <row r="17" spans="10:10" x14ac:dyDescent="0.2">
      <c r="J17" t="s">
        <v>78</v>
      </c>
    </row>
    <row r="18" spans="10:10" x14ac:dyDescent="0.2">
      <c r="J18" t="s">
        <v>79</v>
      </c>
    </row>
    <row r="19" spans="10:10" x14ac:dyDescent="0.2">
      <c r="J19" t="s">
        <v>80</v>
      </c>
    </row>
    <row r="20" spans="10:10" x14ac:dyDescent="0.2">
      <c r="J20" t="s">
        <v>81</v>
      </c>
    </row>
    <row r="21" spans="10:10" x14ac:dyDescent="0.2">
      <c r="J21" t="s">
        <v>82</v>
      </c>
    </row>
    <row r="22" spans="10:10" x14ac:dyDescent="0.2">
      <c r="J22" t="s">
        <v>83</v>
      </c>
    </row>
    <row r="23" spans="10:10" x14ac:dyDescent="0.2">
      <c r="J23" t="s">
        <v>84</v>
      </c>
    </row>
    <row r="24" spans="10:10" x14ac:dyDescent="0.2">
      <c r="J24" t="s">
        <v>85</v>
      </c>
    </row>
    <row r="25" spans="10:10" x14ac:dyDescent="0.2">
      <c r="J25" t="s">
        <v>86</v>
      </c>
    </row>
    <row r="26" spans="10:10" x14ac:dyDescent="0.2">
      <c r="J26" t="s">
        <v>87</v>
      </c>
    </row>
    <row r="27" spans="10:10" x14ac:dyDescent="0.2">
      <c r="J27" t="s">
        <v>88</v>
      </c>
    </row>
    <row r="28" spans="10:10" x14ac:dyDescent="0.2">
      <c r="J28" t="s">
        <v>89</v>
      </c>
    </row>
    <row r="29" spans="10:10" x14ac:dyDescent="0.2">
      <c r="J29" t="s">
        <v>90</v>
      </c>
    </row>
    <row r="30" spans="10:10" x14ac:dyDescent="0.2">
      <c r="J30" t="s">
        <v>91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2"/>
  <sheetViews>
    <sheetView zoomScaleNormal="100" workbookViewId="0">
      <selection activeCell="C14" sqref="C14"/>
    </sheetView>
  </sheetViews>
  <sheetFormatPr defaultRowHeight="12.75" x14ac:dyDescent="0.2"/>
  <cols>
    <col min="2" max="3" width="16.85546875" customWidth="1"/>
    <col min="4" max="4" width="17.85546875" bestFit="1" customWidth="1"/>
    <col min="5" max="5" width="8.7109375" bestFit="1" customWidth="1"/>
    <col min="7" max="7" width="11.85546875" bestFit="1" customWidth="1"/>
  </cols>
  <sheetData>
    <row r="3" spans="2:4" x14ac:dyDescent="0.2">
      <c r="B3" s="13" t="s">
        <v>36</v>
      </c>
      <c r="C3" s="13"/>
    </row>
    <row r="4" spans="2:4" x14ac:dyDescent="0.2">
      <c r="B4">
        <v>2022</v>
      </c>
    </row>
    <row r="7" spans="2:4" x14ac:dyDescent="0.2">
      <c r="B7" s="13" t="s">
        <v>37</v>
      </c>
      <c r="C7" s="13"/>
    </row>
    <row r="8" spans="2:4" x14ac:dyDescent="0.2">
      <c r="B8" t="s">
        <v>38</v>
      </c>
    </row>
    <row r="13" spans="2:4" x14ac:dyDescent="0.2">
      <c r="B13" s="13" t="s">
        <v>92</v>
      </c>
      <c r="C13" s="13"/>
    </row>
    <row r="14" spans="2:4" x14ac:dyDescent="0.2">
      <c r="B14" s="22" t="s">
        <v>93</v>
      </c>
      <c r="C14" s="23" t="s">
        <v>150</v>
      </c>
      <c r="D14" s="24"/>
    </row>
    <row r="15" spans="2:4" x14ac:dyDescent="0.2">
      <c r="B15" s="23" t="s">
        <v>95</v>
      </c>
      <c r="C15" s="23"/>
      <c r="D15" s="24"/>
    </row>
    <row r="16" spans="2:4" x14ac:dyDescent="0.2">
      <c r="B16" s="15" t="s">
        <v>94</v>
      </c>
      <c r="C16" s="15">
        <v>2022</v>
      </c>
    </row>
    <row r="17" spans="2:3" x14ac:dyDescent="0.2">
      <c r="B17" s="15" t="s">
        <v>94</v>
      </c>
      <c r="C17">
        <v>2025</v>
      </c>
    </row>
    <row r="18" spans="2:3" x14ac:dyDescent="0.2">
      <c r="B18" s="15" t="s">
        <v>94</v>
      </c>
      <c r="C18">
        <v>2030</v>
      </c>
    </row>
    <row r="19" spans="2:3" x14ac:dyDescent="0.2">
      <c r="B19" s="15" t="s">
        <v>94</v>
      </c>
      <c r="C19">
        <v>2035</v>
      </c>
    </row>
    <row r="20" spans="2:3" x14ac:dyDescent="0.2">
      <c r="B20" s="15" t="s">
        <v>94</v>
      </c>
      <c r="C20">
        <v>2040</v>
      </c>
    </row>
    <row r="21" spans="2:3" x14ac:dyDescent="0.2">
      <c r="B21" s="15" t="s">
        <v>94</v>
      </c>
      <c r="C21">
        <v>2045</v>
      </c>
    </row>
    <row r="22" spans="2:3" x14ac:dyDescent="0.2">
      <c r="B22" s="15" t="s">
        <v>94</v>
      </c>
      <c r="C22">
        <v>2050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zoomScaleNormal="100" workbookViewId="0">
      <selection activeCell="L20" sqref="L20"/>
    </sheetView>
  </sheetViews>
  <sheetFormatPr defaultRowHeight="12.75" x14ac:dyDescent="0.2"/>
  <cols>
    <col min="1" max="1" width="2.42578125" customWidth="1"/>
    <col min="2" max="2" width="52.7109375" bestFit="1" customWidth="1"/>
  </cols>
  <sheetData>
    <row r="3" spans="2:3" x14ac:dyDescent="0.2">
      <c r="B3" s="13" t="s">
        <v>29</v>
      </c>
    </row>
    <row r="4" spans="2:3" x14ac:dyDescent="0.2">
      <c r="B4" s="14" t="s">
        <v>30</v>
      </c>
      <c r="C4" s="19" t="s">
        <v>31</v>
      </c>
    </row>
    <row r="5" spans="2:3" x14ac:dyDescent="0.2">
      <c r="B5" s="20" t="s">
        <v>32</v>
      </c>
      <c r="C5" s="20">
        <v>1</v>
      </c>
    </row>
    <row r="6" spans="2:3" x14ac:dyDescent="0.2">
      <c r="B6" s="15" t="s">
        <v>33</v>
      </c>
      <c r="C6" s="15">
        <v>1</v>
      </c>
    </row>
    <row r="7" spans="2:3" x14ac:dyDescent="0.2">
      <c r="B7" s="15" t="s">
        <v>34</v>
      </c>
      <c r="C7" s="15">
        <v>1</v>
      </c>
    </row>
    <row r="8" spans="2:3" x14ac:dyDescent="0.2">
      <c r="B8" s="15" t="s">
        <v>35</v>
      </c>
      <c r="C8" s="15">
        <v>0</v>
      </c>
    </row>
    <row r="9" spans="2:3" x14ac:dyDescent="0.2">
      <c r="B9" s="15" t="s">
        <v>57</v>
      </c>
      <c r="C9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11A5-2377-4878-AD2C-E80254AFF82E}">
  <dimension ref="B3:Q39"/>
  <sheetViews>
    <sheetView tabSelected="1" zoomScaleNormal="100" workbookViewId="0">
      <selection activeCell="H6" sqref="H6"/>
    </sheetView>
  </sheetViews>
  <sheetFormatPr defaultRowHeight="12.75" x14ac:dyDescent="0.2"/>
  <cols>
    <col min="1" max="1" width="2.85546875" customWidth="1"/>
    <col min="4" max="4" width="11" bestFit="1" customWidth="1"/>
    <col min="5" max="5" width="11.7109375" bestFit="1" customWidth="1"/>
    <col min="6" max="6" width="9.5703125" customWidth="1"/>
    <col min="7" max="7" width="10.7109375" bestFit="1" customWidth="1"/>
    <col min="8" max="9" width="10.7109375" customWidth="1"/>
    <col min="13" max="13" width="9.28515625" customWidth="1"/>
  </cols>
  <sheetData>
    <row r="3" spans="2:8" x14ac:dyDescent="0.2">
      <c r="B3" s="1" t="s">
        <v>59</v>
      </c>
    </row>
    <row r="4" spans="2:8" ht="13.5" thickBot="1" x14ac:dyDescent="0.25">
      <c r="B4" s="5" t="s">
        <v>18</v>
      </c>
      <c r="C4" s="5" t="s">
        <v>19</v>
      </c>
      <c r="D4" s="5" t="s">
        <v>20</v>
      </c>
      <c r="E4" s="5" t="s">
        <v>60</v>
      </c>
      <c r="F4" s="5" t="s">
        <v>1</v>
      </c>
      <c r="G4" s="5" t="s">
        <v>22</v>
      </c>
      <c r="H4" s="27"/>
    </row>
    <row r="5" spans="2:8" x14ac:dyDescent="0.2">
      <c r="C5" t="s">
        <v>146</v>
      </c>
      <c r="D5" t="s">
        <v>147</v>
      </c>
      <c r="E5">
        <v>0</v>
      </c>
      <c r="F5">
        <v>5</v>
      </c>
    </row>
    <row r="7" spans="2:8" s="25" customFormat="1" x14ac:dyDescent="0.2">
      <c r="C7" s="28" t="s">
        <v>146</v>
      </c>
      <c r="D7" s="28" t="s">
        <v>148</v>
      </c>
      <c r="E7" s="28">
        <v>0</v>
      </c>
      <c r="F7" s="28">
        <v>15</v>
      </c>
      <c r="G7" s="26"/>
    </row>
    <row r="8" spans="2:8" x14ac:dyDescent="0.2">
      <c r="C8" s="29" t="s">
        <v>154</v>
      </c>
      <c r="D8" s="29" t="s">
        <v>149</v>
      </c>
      <c r="E8" s="29">
        <v>0</v>
      </c>
      <c r="F8" s="29">
        <v>15</v>
      </c>
    </row>
    <row r="9" spans="2:8" x14ac:dyDescent="0.2">
      <c r="C9" s="29" t="s">
        <v>154</v>
      </c>
      <c r="D9" s="29" t="s">
        <v>153</v>
      </c>
      <c r="E9" s="29">
        <v>0</v>
      </c>
      <c r="F9" s="29">
        <v>1</v>
      </c>
    </row>
    <row r="10" spans="2:8" x14ac:dyDescent="0.2">
      <c r="C10" s="29" t="s">
        <v>146</v>
      </c>
      <c r="D10" s="29" t="s">
        <v>147</v>
      </c>
      <c r="E10" s="29">
        <v>0</v>
      </c>
      <c r="F10" s="29">
        <v>15</v>
      </c>
    </row>
    <row r="11" spans="2:8" x14ac:dyDescent="0.2">
      <c r="C11" s="29" t="s">
        <v>155</v>
      </c>
      <c r="D11" s="29" t="s">
        <v>147</v>
      </c>
      <c r="E11" s="29">
        <v>0</v>
      </c>
      <c r="F11" s="29">
        <v>15</v>
      </c>
    </row>
    <row r="12" spans="2:8" x14ac:dyDescent="0.2">
      <c r="C12" s="29"/>
      <c r="D12" s="29"/>
      <c r="E12" s="29"/>
      <c r="F12" s="29"/>
    </row>
    <row r="21" ht="19.5" customHeight="1" x14ac:dyDescent="0.2"/>
    <row r="22" ht="15.75" customHeight="1" x14ac:dyDescent="0.2"/>
    <row r="33" spans="2:17" ht="15" x14ac:dyDescent="0.2">
      <c r="B33" s="6" t="s">
        <v>43</v>
      </c>
    </row>
    <row r="35" spans="2:17" ht="18" x14ac:dyDescent="0.25">
      <c r="B35" s="8" t="s">
        <v>42</v>
      </c>
      <c r="C35" s="8"/>
      <c r="D35" s="8"/>
    </row>
    <row r="36" spans="2:17" x14ac:dyDescent="0.2">
      <c r="B36" s="1" t="s">
        <v>152</v>
      </c>
    </row>
    <row r="37" spans="2:17" ht="13.5" thickBot="1" x14ac:dyDescent="0.25">
      <c r="B37" s="5" t="s">
        <v>18</v>
      </c>
      <c r="C37" s="5" t="s">
        <v>19</v>
      </c>
      <c r="D37" s="5" t="s">
        <v>20</v>
      </c>
      <c r="E37" s="5" t="s">
        <v>151</v>
      </c>
      <c r="F37" s="5" t="s">
        <v>2</v>
      </c>
      <c r="G37" s="5" t="s">
        <v>1</v>
      </c>
      <c r="H37" s="5" t="s">
        <v>52</v>
      </c>
      <c r="I37" s="5" t="s">
        <v>56</v>
      </c>
      <c r="J37" s="5" t="s">
        <v>21</v>
      </c>
      <c r="K37" s="5" t="s">
        <v>22</v>
      </c>
      <c r="L37" s="5" t="s">
        <v>28</v>
      </c>
      <c r="M37" s="5" t="s">
        <v>23</v>
      </c>
      <c r="N37" s="5" t="s">
        <v>24</v>
      </c>
      <c r="O37" s="5" t="s">
        <v>25</v>
      </c>
      <c r="P37" s="5" t="s">
        <v>26</v>
      </c>
      <c r="Q37" s="5" t="s">
        <v>27</v>
      </c>
    </row>
    <row r="38" spans="2:17" x14ac:dyDescent="0.2">
      <c r="D38" t="s">
        <v>3</v>
      </c>
      <c r="G38">
        <v>2222</v>
      </c>
      <c r="J38" t="s">
        <v>16</v>
      </c>
      <c r="K38" t="s">
        <v>0</v>
      </c>
    </row>
    <row r="39" spans="2:17" x14ac:dyDescent="0.2">
      <c r="D39" t="s">
        <v>3</v>
      </c>
      <c r="G39">
        <v>8888</v>
      </c>
      <c r="J39" t="s">
        <v>16</v>
      </c>
      <c r="K39" t="s">
        <v>4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59"/>
  <sheetViews>
    <sheetView zoomScaleNormal="100" workbookViewId="0">
      <selection activeCell="J25" sqref="J25"/>
    </sheetView>
  </sheetViews>
  <sheetFormatPr defaultColWidth="9.140625" defaultRowHeight="12.75" x14ac:dyDescent="0.2"/>
  <cols>
    <col min="1" max="1" width="9.140625" style="11"/>
    <col min="2" max="2" width="12.140625" style="11" customWidth="1"/>
    <col min="3" max="3" width="10.85546875" style="11" customWidth="1"/>
    <col min="4" max="4" width="14" style="11" customWidth="1"/>
    <col min="5" max="5" width="10.42578125" style="11" bestFit="1" customWidth="1"/>
    <col min="6" max="6" width="10.42578125" style="11" customWidth="1"/>
    <col min="7" max="7" width="36.28515625" style="11" bestFit="1" customWidth="1"/>
    <col min="8" max="16384" width="9.140625" style="11"/>
  </cols>
  <sheetData>
    <row r="3" spans="2:7" ht="15" x14ac:dyDescent="0.2">
      <c r="B3" s="6" t="s">
        <v>45</v>
      </c>
    </row>
    <row r="5" spans="2:7" x14ac:dyDescent="0.2">
      <c r="B5" s="10" t="s">
        <v>17</v>
      </c>
    </row>
    <row r="6" spans="2:7" ht="13.5" thickBot="1" x14ac:dyDescent="0.25">
      <c r="B6" s="5" t="s">
        <v>18</v>
      </c>
      <c r="C6" s="5" t="s">
        <v>19</v>
      </c>
      <c r="D6" s="5" t="s">
        <v>20</v>
      </c>
      <c r="E6" s="5" t="s">
        <v>1</v>
      </c>
      <c r="F6" s="5" t="s">
        <v>52</v>
      </c>
      <c r="G6" s="5" t="s">
        <v>26</v>
      </c>
    </row>
    <row r="7" spans="2:7" x14ac:dyDescent="0.2">
      <c r="D7" s="11" t="s">
        <v>54</v>
      </c>
      <c r="E7" s="11">
        <v>2022</v>
      </c>
    </row>
    <row r="8" spans="2:7" x14ac:dyDescent="0.2">
      <c r="D8" s="11" t="s">
        <v>44</v>
      </c>
      <c r="E8" s="11">
        <v>0.15</v>
      </c>
    </row>
    <row r="9" spans="2:7" x14ac:dyDescent="0.2">
      <c r="B9" s="11" t="s">
        <v>62</v>
      </c>
      <c r="D9" s="11" t="s">
        <v>53</v>
      </c>
      <c r="E9" s="11">
        <v>0.75</v>
      </c>
    </row>
    <row r="10" spans="2:7" x14ac:dyDescent="0.2">
      <c r="B10" s="11" t="s">
        <v>63</v>
      </c>
      <c r="D10" s="11" t="s">
        <v>53</v>
      </c>
      <c r="E10" s="11">
        <f>1-E9</f>
        <v>0.25</v>
      </c>
    </row>
    <row r="11" spans="2:7" x14ac:dyDescent="0.2">
      <c r="B11" s="11" t="s">
        <v>96</v>
      </c>
      <c r="D11" s="11" t="s">
        <v>53</v>
      </c>
      <c r="E11" s="17">
        <f>E$10/24</f>
        <v>1.0416666666666666E-2</v>
      </c>
      <c r="G11" s="11" t="s">
        <v>65</v>
      </c>
    </row>
    <row r="12" spans="2:7" x14ac:dyDescent="0.2">
      <c r="B12" s="11" t="s">
        <v>97</v>
      </c>
      <c r="D12" s="11" t="s">
        <v>53</v>
      </c>
      <c r="E12" s="17">
        <f t="shared" ref="E12:E34" si="0">E$10/24</f>
        <v>1.0416666666666666E-2</v>
      </c>
      <c r="F12" s="17"/>
    </row>
    <row r="13" spans="2:7" x14ac:dyDescent="0.2">
      <c r="B13" s="11" t="s">
        <v>98</v>
      </c>
      <c r="D13" s="11" t="s">
        <v>53</v>
      </c>
      <c r="E13" s="17">
        <f t="shared" si="0"/>
        <v>1.0416666666666666E-2</v>
      </c>
    </row>
    <row r="14" spans="2:7" x14ac:dyDescent="0.2">
      <c r="B14" s="11" t="s">
        <v>99</v>
      </c>
      <c r="D14" s="11" t="s">
        <v>53</v>
      </c>
      <c r="E14" s="17">
        <f t="shared" si="0"/>
        <v>1.0416666666666666E-2</v>
      </c>
    </row>
    <row r="15" spans="2:7" x14ac:dyDescent="0.2">
      <c r="B15" s="11" t="s">
        <v>100</v>
      </c>
      <c r="C15"/>
      <c r="D15" s="11" t="s">
        <v>53</v>
      </c>
      <c r="E15" s="17">
        <f t="shared" si="0"/>
        <v>1.0416666666666666E-2</v>
      </c>
      <c r="F15" s="17"/>
    </row>
    <row r="16" spans="2:7" x14ac:dyDescent="0.2">
      <c r="B16" s="11" t="s">
        <v>101</v>
      </c>
      <c r="C16"/>
      <c r="D16" s="11" t="s">
        <v>53</v>
      </c>
      <c r="E16" s="17">
        <f t="shared" si="0"/>
        <v>1.0416666666666666E-2</v>
      </c>
      <c r="F16" s="17"/>
    </row>
    <row r="17" spans="2:6" x14ac:dyDescent="0.2">
      <c r="B17" s="11" t="s">
        <v>102</v>
      </c>
      <c r="C17"/>
      <c r="D17" s="11" t="s">
        <v>53</v>
      </c>
      <c r="E17" s="17">
        <f t="shared" si="0"/>
        <v>1.0416666666666666E-2</v>
      </c>
      <c r="F17" s="17"/>
    </row>
    <row r="18" spans="2:6" x14ac:dyDescent="0.2">
      <c r="B18" s="11" t="s">
        <v>103</v>
      </c>
      <c r="C18"/>
      <c r="D18" s="11" t="s">
        <v>53</v>
      </c>
      <c r="E18" s="17">
        <f t="shared" si="0"/>
        <v>1.0416666666666666E-2</v>
      </c>
    </row>
    <row r="19" spans="2:6" x14ac:dyDescent="0.2">
      <c r="B19" s="11" t="s">
        <v>104</v>
      </c>
      <c r="C19"/>
      <c r="D19" s="11" t="s">
        <v>53</v>
      </c>
      <c r="E19" s="17">
        <f t="shared" si="0"/>
        <v>1.0416666666666666E-2</v>
      </c>
    </row>
    <row r="20" spans="2:6" x14ac:dyDescent="0.2">
      <c r="B20" s="11" t="s">
        <v>105</v>
      </c>
      <c r="C20"/>
      <c r="D20" s="11" t="s">
        <v>53</v>
      </c>
      <c r="E20" s="17">
        <f t="shared" si="0"/>
        <v>1.0416666666666666E-2</v>
      </c>
    </row>
    <row r="21" spans="2:6" x14ac:dyDescent="0.2">
      <c r="B21" s="11" t="s">
        <v>106</v>
      </c>
      <c r="C21"/>
      <c r="D21" s="11" t="s">
        <v>53</v>
      </c>
      <c r="E21" s="17">
        <f t="shared" si="0"/>
        <v>1.0416666666666666E-2</v>
      </c>
    </row>
    <row r="22" spans="2:6" x14ac:dyDescent="0.2">
      <c r="B22" s="11" t="s">
        <v>107</v>
      </c>
      <c r="C22"/>
      <c r="D22" s="11" t="s">
        <v>53</v>
      </c>
      <c r="E22" s="17">
        <f t="shared" si="0"/>
        <v>1.0416666666666666E-2</v>
      </c>
    </row>
    <row r="23" spans="2:6" x14ac:dyDescent="0.2">
      <c r="B23" s="11" t="s">
        <v>108</v>
      </c>
      <c r="C23"/>
      <c r="D23" s="11" t="s">
        <v>53</v>
      </c>
      <c r="E23" s="17">
        <f t="shared" si="0"/>
        <v>1.0416666666666666E-2</v>
      </c>
    </row>
    <row r="24" spans="2:6" x14ac:dyDescent="0.2">
      <c r="B24" s="11" t="s">
        <v>109</v>
      </c>
      <c r="C24"/>
      <c r="D24" s="11" t="s">
        <v>53</v>
      </c>
      <c r="E24" s="17">
        <f t="shared" si="0"/>
        <v>1.0416666666666666E-2</v>
      </c>
    </row>
    <row r="25" spans="2:6" x14ac:dyDescent="0.2">
      <c r="B25" s="11" t="s">
        <v>110</v>
      </c>
      <c r="C25"/>
      <c r="D25" s="11" t="s">
        <v>53</v>
      </c>
      <c r="E25" s="17">
        <f t="shared" si="0"/>
        <v>1.0416666666666666E-2</v>
      </c>
    </row>
    <row r="26" spans="2:6" x14ac:dyDescent="0.2">
      <c r="B26" s="11" t="s">
        <v>111</v>
      </c>
      <c r="C26"/>
      <c r="D26" s="11" t="s">
        <v>53</v>
      </c>
      <c r="E26" s="17">
        <f t="shared" si="0"/>
        <v>1.0416666666666666E-2</v>
      </c>
    </row>
    <row r="27" spans="2:6" x14ac:dyDescent="0.2">
      <c r="B27" s="11" t="s">
        <v>112</v>
      </c>
      <c r="C27"/>
      <c r="D27" s="11" t="s">
        <v>53</v>
      </c>
      <c r="E27" s="17">
        <f t="shared" si="0"/>
        <v>1.0416666666666666E-2</v>
      </c>
    </row>
    <row r="28" spans="2:6" x14ac:dyDescent="0.2">
      <c r="B28" s="11" t="s">
        <v>113</v>
      </c>
      <c r="C28"/>
      <c r="D28" s="11" t="s">
        <v>53</v>
      </c>
      <c r="E28" s="17">
        <f t="shared" si="0"/>
        <v>1.0416666666666666E-2</v>
      </c>
    </row>
    <row r="29" spans="2:6" x14ac:dyDescent="0.2">
      <c r="B29" s="11" t="s">
        <v>114</v>
      </c>
      <c r="C29"/>
      <c r="D29" s="11" t="s">
        <v>53</v>
      </c>
      <c r="E29" s="17">
        <f t="shared" si="0"/>
        <v>1.0416666666666666E-2</v>
      </c>
    </row>
    <row r="30" spans="2:6" x14ac:dyDescent="0.2">
      <c r="B30" s="11" t="s">
        <v>115</v>
      </c>
      <c r="C30"/>
      <c r="D30" s="11" t="s">
        <v>53</v>
      </c>
      <c r="E30" s="17">
        <f t="shared" si="0"/>
        <v>1.0416666666666666E-2</v>
      </c>
    </row>
    <row r="31" spans="2:6" x14ac:dyDescent="0.2">
      <c r="B31" s="11" t="s">
        <v>116</v>
      </c>
      <c r="C31"/>
      <c r="D31" s="11" t="s">
        <v>53</v>
      </c>
      <c r="E31" s="17">
        <f t="shared" si="0"/>
        <v>1.0416666666666666E-2</v>
      </c>
    </row>
    <row r="32" spans="2:6" x14ac:dyDescent="0.2">
      <c r="B32" s="11" t="s">
        <v>117</v>
      </c>
      <c r="C32"/>
      <c r="D32" s="11" t="s">
        <v>53</v>
      </c>
      <c r="E32" s="17">
        <f t="shared" si="0"/>
        <v>1.0416666666666666E-2</v>
      </c>
    </row>
    <row r="33" spans="2:5" x14ac:dyDescent="0.2">
      <c r="B33" s="11" t="s">
        <v>118</v>
      </c>
      <c r="C33"/>
      <c r="D33" s="11" t="s">
        <v>53</v>
      </c>
      <c r="E33" s="17">
        <f t="shared" si="0"/>
        <v>1.0416666666666666E-2</v>
      </c>
    </row>
    <row r="34" spans="2:5" x14ac:dyDescent="0.2">
      <c r="B34" s="11" t="s">
        <v>119</v>
      </c>
      <c r="C34"/>
      <c r="D34" s="11" t="s">
        <v>53</v>
      </c>
      <c r="E34" s="17">
        <f t="shared" si="0"/>
        <v>1.0416666666666666E-2</v>
      </c>
    </row>
    <row r="35" spans="2:5" x14ac:dyDescent="0.2">
      <c r="B35" s="11" t="s">
        <v>120</v>
      </c>
      <c r="C35"/>
      <c r="D35" s="11" t="s">
        <v>53</v>
      </c>
      <c r="E35" s="17">
        <f>E$9/24</f>
        <v>3.125E-2</v>
      </c>
    </row>
    <row r="36" spans="2:5" x14ac:dyDescent="0.2">
      <c r="B36" s="11" t="s">
        <v>121</v>
      </c>
      <c r="C36"/>
      <c r="D36" s="11" t="s">
        <v>53</v>
      </c>
      <c r="E36" s="17">
        <f t="shared" ref="E36:E58" si="1">E$9/24</f>
        <v>3.125E-2</v>
      </c>
    </row>
    <row r="37" spans="2:5" x14ac:dyDescent="0.2">
      <c r="B37" s="11" t="s">
        <v>122</v>
      </c>
      <c r="D37" s="11" t="s">
        <v>53</v>
      </c>
      <c r="E37" s="17">
        <f t="shared" si="1"/>
        <v>3.125E-2</v>
      </c>
    </row>
    <row r="38" spans="2:5" x14ac:dyDescent="0.2">
      <c r="B38" s="11" t="s">
        <v>123</v>
      </c>
      <c r="D38" s="11" t="s">
        <v>53</v>
      </c>
      <c r="E38" s="17">
        <f t="shared" si="1"/>
        <v>3.125E-2</v>
      </c>
    </row>
    <row r="39" spans="2:5" x14ac:dyDescent="0.2">
      <c r="B39" s="11" t="s">
        <v>124</v>
      </c>
      <c r="D39" s="11" t="s">
        <v>53</v>
      </c>
      <c r="E39" s="17">
        <f t="shared" si="1"/>
        <v>3.125E-2</v>
      </c>
    </row>
    <row r="40" spans="2:5" x14ac:dyDescent="0.2">
      <c r="B40" s="11" t="s">
        <v>125</v>
      </c>
      <c r="D40" s="11" t="s">
        <v>53</v>
      </c>
      <c r="E40" s="17">
        <f t="shared" si="1"/>
        <v>3.125E-2</v>
      </c>
    </row>
    <row r="41" spans="2:5" x14ac:dyDescent="0.2">
      <c r="B41" s="11" t="s">
        <v>126</v>
      </c>
      <c r="D41" s="11" t="s">
        <v>53</v>
      </c>
      <c r="E41" s="17">
        <f t="shared" si="1"/>
        <v>3.125E-2</v>
      </c>
    </row>
    <row r="42" spans="2:5" x14ac:dyDescent="0.2">
      <c r="B42" s="11" t="s">
        <v>127</v>
      </c>
      <c r="D42" s="11" t="s">
        <v>53</v>
      </c>
      <c r="E42" s="17">
        <f t="shared" si="1"/>
        <v>3.125E-2</v>
      </c>
    </row>
    <row r="43" spans="2:5" x14ac:dyDescent="0.2">
      <c r="B43" s="11" t="s">
        <v>128</v>
      </c>
      <c r="D43" s="11" t="s">
        <v>53</v>
      </c>
      <c r="E43" s="17">
        <f t="shared" si="1"/>
        <v>3.125E-2</v>
      </c>
    </row>
    <row r="44" spans="2:5" x14ac:dyDescent="0.2">
      <c r="B44" s="11" t="s">
        <v>129</v>
      </c>
      <c r="D44" s="11" t="s">
        <v>53</v>
      </c>
      <c r="E44" s="17">
        <f t="shared" si="1"/>
        <v>3.125E-2</v>
      </c>
    </row>
    <row r="45" spans="2:5" x14ac:dyDescent="0.2">
      <c r="B45" s="11" t="s">
        <v>130</v>
      </c>
      <c r="D45" s="11" t="s">
        <v>53</v>
      </c>
      <c r="E45" s="17">
        <f t="shared" si="1"/>
        <v>3.125E-2</v>
      </c>
    </row>
    <row r="46" spans="2:5" x14ac:dyDescent="0.2">
      <c r="B46" s="11" t="s">
        <v>131</v>
      </c>
      <c r="D46" s="11" t="s">
        <v>53</v>
      </c>
      <c r="E46" s="17">
        <f t="shared" si="1"/>
        <v>3.125E-2</v>
      </c>
    </row>
    <row r="47" spans="2:5" x14ac:dyDescent="0.2">
      <c r="B47" s="11" t="s">
        <v>132</v>
      </c>
      <c r="D47" s="11" t="s">
        <v>53</v>
      </c>
      <c r="E47" s="17">
        <f t="shared" si="1"/>
        <v>3.125E-2</v>
      </c>
    </row>
    <row r="48" spans="2:5" x14ac:dyDescent="0.2">
      <c r="B48" s="11" t="s">
        <v>133</v>
      </c>
      <c r="D48" s="11" t="s">
        <v>53</v>
      </c>
      <c r="E48" s="17">
        <f t="shared" si="1"/>
        <v>3.125E-2</v>
      </c>
    </row>
    <row r="49" spans="2:5" x14ac:dyDescent="0.2">
      <c r="B49" s="11" t="s">
        <v>134</v>
      </c>
      <c r="D49" s="11" t="s">
        <v>53</v>
      </c>
      <c r="E49" s="17">
        <f t="shared" si="1"/>
        <v>3.125E-2</v>
      </c>
    </row>
    <row r="50" spans="2:5" x14ac:dyDescent="0.2">
      <c r="B50" s="11" t="s">
        <v>135</v>
      </c>
      <c r="D50" s="11" t="s">
        <v>53</v>
      </c>
      <c r="E50" s="17">
        <f t="shared" si="1"/>
        <v>3.125E-2</v>
      </c>
    </row>
    <row r="51" spans="2:5" x14ac:dyDescent="0.2">
      <c r="B51" s="11" t="s">
        <v>136</v>
      </c>
      <c r="D51" s="11" t="s">
        <v>53</v>
      </c>
      <c r="E51" s="17">
        <f t="shared" si="1"/>
        <v>3.125E-2</v>
      </c>
    </row>
    <row r="52" spans="2:5" x14ac:dyDescent="0.2">
      <c r="B52" s="11" t="s">
        <v>137</v>
      </c>
      <c r="D52" s="11" t="s">
        <v>53</v>
      </c>
      <c r="E52" s="17">
        <f t="shared" si="1"/>
        <v>3.125E-2</v>
      </c>
    </row>
    <row r="53" spans="2:5" x14ac:dyDescent="0.2">
      <c r="B53" s="11" t="s">
        <v>138</v>
      </c>
      <c r="D53" s="11" t="s">
        <v>53</v>
      </c>
      <c r="E53" s="17">
        <f t="shared" si="1"/>
        <v>3.125E-2</v>
      </c>
    </row>
    <row r="54" spans="2:5" x14ac:dyDescent="0.2">
      <c r="B54" s="11" t="s">
        <v>139</v>
      </c>
      <c r="D54" s="11" t="s">
        <v>53</v>
      </c>
      <c r="E54" s="17">
        <f t="shared" si="1"/>
        <v>3.125E-2</v>
      </c>
    </row>
    <row r="55" spans="2:5" x14ac:dyDescent="0.2">
      <c r="B55" s="11" t="s">
        <v>140</v>
      </c>
      <c r="D55" s="11" t="s">
        <v>53</v>
      </c>
      <c r="E55" s="17">
        <f t="shared" si="1"/>
        <v>3.125E-2</v>
      </c>
    </row>
    <row r="56" spans="2:5" x14ac:dyDescent="0.2">
      <c r="B56" s="11" t="s">
        <v>141</v>
      </c>
      <c r="D56" s="11" t="s">
        <v>53</v>
      </c>
      <c r="E56" s="17">
        <f t="shared" si="1"/>
        <v>3.125E-2</v>
      </c>
    </row>
    <row r="57" spans="2:5" x14ac:dyDescent="0.2">
      <c r="B57" s="11" t="s">
        <v>142</v>
      </c>
      <c r="D57" s="11" t="s">
        <v>53</v>
      </c>
      <c r="E57" s="17">
        <f t="shared" si="1"/>
        <v>3.125E-2</v>
      </c>
    </row>
    <row r="58" spans="2:5" x14ac:dyDescent="0.2">
      <c r="B58" s="11" t="s">
        <v>143</v>
      </c>
      <c r="D58" s="11" t="s">
        <v>53</v>
      </c>
      <c r="E58" s="17">
        <f t="shared" si="1"/>
        <v>3.125E-2</v>
      </c>
    </row>
    <row r="59" spans="2:5" x14ac:dyDescent="0.2">
      <c r="E59" s="17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6"/>
  <sheetViews>
    <sheetView workbookViewId="0">
      <selection activeCell="M21" sqref="M21"/>
    </sheetView>
  </sheetViews>
  <sheetFormatPr defaultRowHeight="12.75" x14ac:dyDescent="0.2"/>
  <cols>
    <col min="2" max="2" width="11.7109375" bestFit="1" customWidth="1"/>
    <col min="4" max="4" width="15.5703125" bestFit="1" customWidth="1"/>
  </cols>
  <sheetData>
    <row r="2" spans="2:5" x14ac:dyDescent="0.2">
      <c r="B2" s="1" t="s">
        <v>46</v>
      </c>
      <c r="D2" s="1" t="s">
        <v>48</v>
      </c>
    </row>
    <row r="3" spans="2:5" ht="13.5" thickBot="1" x14ac:dyDescent="0.25">
      <c r="B3" s="12" t="s">
        <v>47</v>
      </c>
      <c r="D3" s="12" t="s">
        <v>30</v>
      </c>
      <c r="E3" s="18" t="s">
        <v>55</v>
      </c>
    </row>
    <row r="4" spans="2:5" x14ac:dyDescent="0.2">
      <c r="B4" s="16" t="s">
        <v>64</v>
      </c>
      <c r="D4" t="s">
        <v>49</v>
      </c>
      <c r="E4" s="16" t="s">
        <v>144</v>
      </c>
    </row>
    <row r="5" spans="2:5" x14ac:dyDescent="0.2">
      <c r="D5" t="s">
        <v>50</v>
      </c>
      <c r="E5" s="16" t="s">
        <v>145</v>
      </c>
    </row>
    <row r="6" spans="2:5" x14ac:dyDescent="0.2">
      <c r="D6" t="s">
        <v>51</v>
      </c>
      <c r="E6" t="s">
        <v>144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7"/>
  <sheetViews>
    <sheetView zoomScaleNormal="100" workbookViewId="0">
      <selection activeCell="C11" sqref="C11"/>
    </sheetView>
  </sheetViews>
  <sheetFormatPr defaultRowHeight="12.75" x14ac:dyDescent="0.2"/>
  <cols>
    <col min="1" max="1" width="3.140625" customWidth="1"/>
    <col min="2" max="2" width="15.7109375" customWidth="1"/>
    <col min="3" max="3" width="18.28515625" customWidth="1"/>
    <col min="4" max="4" width="8.7109375" bestFit="1" customWidth="1"/>
    <col min="5" max="6" width="8.42578125" bestFit="1" customWidth="1"/>
    <col min="7" max="8" width="11.28515625" customWidth="1"/>
    <col min="9" max="10" width="11.85546875" customWidth="1"/>
  </cols>
  <sheetData>
    <row r="2" spans="2:8" ht="15" x14ac:dyDescent="0.2">
      <c r="B2" s="6" t="s">
        <v>39</v>
      </c>
      <c r="C2" s="7"/>
      <c r="D2" s="7"/>
      <c r="E2" s="7"/>
      <c r="F2" s="7"/>
      <c r="G2" s="7"/>
      <c r="H2" s="7"/>
    </row>
    <row r="4" spans="2:8" ht="21" customHeight="1" x14ac:dyDescent="0.25">
      <c r="B4" s="8" t="s">
        <v>5</v>
      </c>
      <c r="C4" s="8"/>
      <c r="D4" s="8"/>
      <c r="E4" s="8"/>
      <c r="F4" s="8"/>
    </row>
    <row r="5" spans="2:8" ht="18" customHeight="1" x14ac:dyDescent="0.2">
      <c r="B5" s="1" t="s">
        <v>6</v>
      </c>
    </row>
    <row r="6" spans="2:8" ht="18.75" customHeight="1" thickBot="1" x14ac:dyDescent="0.25">
      <c r="B6" s="5" t="s">
        <v>7</v>
      </c>
      <c r="C6" s="5" t="s">
        <v>8</v>
      </c>
      <c r="D6" s="5" t="s">
        <v>25</v>
      </c>
      <c r="E6" s="5" t="s">
        <v>26</v>
      </c>
      <c r="F6" s="5" t="s">
        <v>27</v>
      </c>
      <c r="G6" s="5" t="s">
        <v>1</v>
      </c>
      <c r="H6" s="5" t="s">
        <v>61</v>
      </c>
    </row>
    <row r="7" spans="2:8" ht="26.25" thickBot="1" x14ac:dyDescent="0.25">
      <c r="B7" s="9" t="s">
        <v>40</v>
      </c>
      <c r="C7" s="9" t="s">
        <v>41</v>
      </c>
      <c r="D7" s="9"/>
      <c r="E7" s="9"/>
      <c r="F7" s="9"/>
      <c r="G7" s="9"/>
      <c r="H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2001-09-28T20:39:50Z</cp:lastPrinted>
  <dcterms:created xsi:type="dcterms:W3CDTF">2001-09-28T18:48:17Z</dcterms:created>
  <dcterms:modified xsi:type="dcterms:W3CDTF">2025-11-18T09:23:53Z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329352974891662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2025-09-25T14:41:30Z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af702936-5490-4436-9d71-d34720e9188f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