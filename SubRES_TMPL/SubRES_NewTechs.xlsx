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DA5362D7-AF0C-4E63-A527-0F72E1919AFB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7" l="1"/>
  <c r="B36" i="7"/>
  <c r="B37" i="7"/>
  <c r="B35" i="7"/>
  <c r="C34" i="7"/>
  <c r="C33" i="7"/>
  <c r="C32" i="7"/>
  <c r="D28" i="6"/>
  <c r="D29" i="6"/>
  <c r="B28" i="6"/>
  <c r="B29" i="6"/>
  <c r="C31" i="7"/>
  <c r="B27" i="6"/>
  <c r="B34" i="7"/>
  <c r="B33" i="7"/>
  <c r="B32" i="7"/>
  <c r="B31" i="7"/>
  <c r="D27" i="6"/>
  <c r="D26" i="6"/>
  <c r="B29" i="7"/>
  <c r="B30" i="7"/>
  <c r="B28" i="7"/>
  <c r="C30" i="7"/>
  <c r="C28" i="7"/>
  <c r="B27" i="7"/>
  <c r="Q27" i="6"/>
  <c r="F56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3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3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3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4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<sst xmlns="http://schemas.openxmlformats.org/spreadsheetml/2006/main" count="356" uniqueCount="158">
  <si>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</si>
  <si>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</si>
  <si>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</si>
  <si>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</si>
  <si>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</si>
  <si>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</si>
  <si>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</si>
  <si>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</si>
  <si>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</si>
  <si>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</si>
  <si>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</si>
  <si>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</si>
  <si>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</si>
  <si>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</si>
  <si>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</si>
  <si>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</si>
  <si>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</si>
  <si>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</si>
  <si>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</si>
  <si>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</si>
  <si>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</si>
  <si>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</si>
  <si>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</si>
  <si>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</si>
  <si>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</si>
  <si>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</si>
  <si>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</si>
  <si>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</si>
  <si>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</si>
  <si>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</si>
  <si>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</si>
  <si>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</si>
  <si>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</si>
  <si>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</si>
  <si>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</si>
  <si>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</si>
  <si>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</si>
  <si>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</si>
  <si>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</si>
  <si>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</si>
  <si>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</si>
  <si>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</si>
  <si>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</si>
  <si>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</si>
  <si>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</si>
  <si>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</si>
  <si>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</si>
  <si>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</si>
  <si>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</si>
  <si>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</si>
  <si>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</si>
  <si>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</si>
  <si>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</si>
  <si>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</si>
  <si>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</si>
  <si>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</si>
  <si>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</si>
  <si>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</si>
  <si>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</si>
  <si>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</si>
  <si>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</si>
  <si>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</si>
  <si>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</si>
  <si>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</si>
  <si>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</si>
  <si>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</si>
  <si>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</si>
  <si>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</si>
  <si>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</si>
  <si>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</si>
  <si>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</si>
  <si>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</si>
  <si>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</si>
  <si>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</si>
  <si>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</si>
  <si>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</si>
  <si>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</si>
  <si>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</si>
  <si>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</si>
  <si>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</si>
  <si>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</si>
  <si>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</si>
  <si>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</si>
  <si>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</si>
  <si>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</si>
  <si>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</si>
  <si>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</si>
  <si>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</si>
  <si>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</si>
  <si>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</si>
  <si>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</si>
  <si>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</si>
  <si>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</si>
  <si>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</si>
  <si>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</si>
  <si>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</si>
  <si>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</si>
  <si>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</si>
  <si>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</si>
  <si>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</si>
  <si>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</si>
  <si>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</si>
  <si>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</si>
  <si>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</si>
  <si>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</si>
  <si>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</si>
  <si>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</si>
  <si>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</si>
  <si>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</si>
  <si>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</si>
  <si>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</si>
  <si>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</si>
  <si>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</si>
  <si>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</si>
  <si>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</si>
  <si>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</si>
  <si>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</si>
  <si>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</si>
  <si>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</si>
  <si>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</si>
  <si>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</si>
  <si>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</si>
  <si>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</si>
  <si>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</si>
  <si>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</si>
  <si>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</si>
  <si>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</si>
  <si>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</si>
  <si>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</si>
  <si>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</si>
  <si>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</si>
  <si>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</si>
  <si>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</si>
  <si>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</si>
  <si>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</si>
  <si>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</si>
  <si>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</si>
  <si>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</si>
  <si>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</si>
  <si>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</si>
  <si>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</si>
  <si>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</si>
  <si>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</si>
  <si>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</si>
  <si>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</si>
  <si>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</si>
  <si>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DECELC</t>
  </si>
  <si>
    <t>Electric boiler</t>
  </si>
  <si>
    <t>Biomass kiln</t>
  </si>
  <si>
    <t>WNDELC</t>
  </si>
  <si>
    <t>SOLELC</t>
  </si>
  <si>
    <t xml:space="preserve">Electricity from solar </t>
  </si>
  <si>
    <t>Electricity from Wind</t>
  </si>
  <si>
    <t>Decenteralized electricity from wind and solar aggrigator</t>
  </si>
  <si>
    <t>TH2024USD/MWh</t>
  </si>
  <si>
    <t>BIOELC</t>
  </si>
  <si>
    <t>Electricity from Bioenergy</t>
  </si>
  <si>
    <t>BIOPOWER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</si>
</sst>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90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5" fillId="0" borderId="0" xfId="4" applyNumberFormat="1"/>
    <xf numFmtId="0" fontId="25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55</xdr:row>
      <xdr:rowOff>65943</xdr:rowOff>
    </xdr:from>
    <xdr:to>
      <xdr:col>24</xdr:col>
      <xdr:colOff>3771674</xdr:colOff>
      <xdr:row>60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36" zoomScale="142" zoomScaleNormal="142" workbookViewId="0">
      <selection activeCell="L32" sqref="L32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119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119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119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119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135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136</v>
      </c>
      <c r="Q8" s="37" t="s">
        <v>137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119</v>
      </c>
      <c r="J25" s="20" t="s">
        <v>58</v>
      </c>
      <c r="K25" s="21"/>
      <c r="N25" s="13" t="s">
        <v>81</v>
      </c>
      <c r="O25" s="22" t="s">
        <v>111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109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I28" s="1">
        <v>0</v>
      </c>
      <c r="K28" s="26">
        <v>8.76</v>
      </c>
      <c r="N28" s="38" t="s">
        <v>64</v>
      </c>
      <c r="P28" s="1" t="s">
        <v>138</v>
      </c>
      <c r="Q28" s="1" t="s">
        <v>141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I29" s="1">
        <v>0</v>
      </c>
      <c r="K29" s="26">
        <v>8.76</v>
      </c>
      <c r="N29" s="38" t="s">
        <v>64</v>
      </c>
      <c r="O29" s="14"/>
      <c r="P29" s="14" t="s">
        <v>139</v>
      </c>
      <c r="Q29" s="14" t="s">
        <v>140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6"/>
  <sheetViews>
    <sheetView tabSelected="1" topLeftCell="A24" zoomScale="118" zoomScaleNormal="118" workbookViewId="0">
      <selection activeCell="S32" sqref="S32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69</v>
      </c>
      <c r="X5" s="46" t="s">
        <v>150</v>
      </c>
      <c r="Y5" s="79" t="s">
        <v>151</v>
      </c>
      <c r="Z5" s="79" t="s">
        <v>58</v>
      </c>
      <c r="AB5" s="79" t="s">
        <v>88</v>
      </c>
    </row>
    <row r="6" spans="2:31" ht="15.6" x14ac:dyDescent="0.3">
      <c r="B6" s="54"/>
      <c r="C6" s="54"/>
      <c r="D6" s="54"/>
      <c r="E6" s="54"/>
      <c r="F6" s="54"/>
      <c r="G6" s="54"/>
      <c r="V6" s="79" t="s">
        <v>69</v>
      </c>
      <c r="X6" s="46" t="s">
        <v>149</v>
      </c>
      <c r="Y6" s="79" t="s">
        <v>152</v>
      </c>
      <c r="Z6" s="79" t="s">
        <v>58</v>
      </c>
      <c r="AB6" s="79" t="s">
        <v>88</v>
      </c>
    </row>
    <row r="7" spans="2:31" ht="15.6" x14ac:dyDescent="0.3">
      <c r="B7" s="54"/>
      <c r="C7" s="54"/>
      <c r="D7" s="54"/>
      <c r="E7" s="54"/>
      <c r="F7" s="54"/>
      <c r="G7" s="54"/>
      <c r="V7" s="46" t="s">
        <v>69</v>
      </c>
      <c r="X7" s="46" t="s">
        <v>155</v>
      </c>
      <c r="Y7" s="46" t="s">
        <v>156</v>
      </c>
      <c r="Z7" s="79" t="s">
        <v>58</v>
      </c>
      <c r="AB7" s="79" t="s">
        <v>88</v>
      </c>
    </row>
    <row r="8" spans="2:31" ht="15.6" x14ac:dyDescent="0.3">
      <c r="B8" s="54"/>
      <c r="C8" s="54"/>
      <c r="D8" s="54"/>
      <c r="E8" s="54"/>
      <c r="F8" s="54"/>
      <c r="G8" s="54"/>
    </row>
    <row r="9" spans="2:31" ht="15.6" x14ac:dyDescent="0.3">
      <c r="B9" s="54"/>
      <c r="C9" s="54"/>
      <c r="D9" s="54"/>
      <c r="E9" s="54"/>
      <c r="F9" s="54"/>
      <c r="G9" s="54"/>
    </row>
    <row r="10" spans="2:31" ht="15.6" x14ac:dyDescent="0.3">
      <c r="B10" s="54"/>
      <c r="C10" s="54"/>
      <c r="D10" s="54"/>
      <c r="E10" s="54"/>
      <c r="F10" s="54"/>
      <c r="G10" s="54"/>
    </row>
    <row r="11" spans="2:31" ht="15.6" x14ac:dyDescent="0.3">
      <c r="B11" s="54"/>
      <c r="C11" s="54"/>
      <c r="D11" s="54"/>
      <c r="E11" s="54"/>
      <c r="F11" s="54"/>
      <c r="G11" s="54"/>
      <c r="V11" s="42"/>
      <c r="W11" s="42"/>
      <c r="X11" s="42"/>
      <c r="Y11" s="42"/>
      <c r="Z11" s="42"/>
      <c r="AA11" s="41"/>
      <c r="AB11" s="64"/>
      <c r="AC11" s="41"/>
      <c r="AD11" s="41"/>
    </row>
    <row r="12" spans="2:31" ht="15.6" x14ac:dyDescent="0.3">
      <c r="B12" s="54"/>
      <c r="C12" s="54"/>
      <c r="D12" s="54"/>
      <c r="E12" s="54"/>
      <c r="F12" s="54"/>
      <c r="G12" s="54"/>
      <c r="V12" s="42"/>
      <c r="W12" s="42"/>
      <c r="X12" s="42"/>
      <c r="Y12" s="42"/>
      <c r="Z12" s="42"/>
      <c r="AA12" s="55"/>
      <c r="AB12" s="64"/>
      <c r="AC12" s="55"/>
      <c r="AD12" s="55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3"/>
      <c r="W13" s="43"/>
      <c r="X13" s="43"/>
      <c r="Y13" s="43"/>
      <c r="Z13" s="43"/>
      <c r="AA13" s="55"/>
      <c r="AB13" s="64"/>
      <c r="AC13" s="55"/>
      <c r="AD13" s="55"/>
      <c r="AE13" s="47"/>
    </row>
    <row r="14" spans="2:31" ht="15.6" x14ac:dyDescent="0.3">
      <c r="B14" s="54"/>
      <c r="C14" s="54"/>
      <c r="D14" s="54"/>
      <c r="E14" s="54"/>
      <c r="F14" s="54"/>
      <c r="G14" s="54"/>
      <c r="V14" s="79"/>
      <c r="W14" s="79"/>
      <c r="X14" s="79"/>
      <c r="Y14" s="79"/>
      <c r="Z14" s="79"/>
      <c r="AA14" s="79"/>
      <c r="AB14" s="79"/>
      <c r="AC14" s="79"/>
      <c r="AD14" s="79"/>
      <c r="AE14" s="47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s="79" customFormat="1" ht="15.6" x14ac:dyDescent="0.3">
      <c r="B16" s="78"/>
      <c r="C16" s="78"/>
      <c r="D16" s="78"/>
      <c r="E16" s="78"/>
      <c r="F16" s="78"/>
      <c r="G16" s="78"/>
      <c r="T16" s="80"/>
      <c r="U16" s="80"/>
      <c r="V16" s="46"/>
      <c r="W16" s="46"/>
      <c r="X16" s="46"/>
      <c r="Y16" s="46"/>
      <c r="Z16" s="46"/>
      <c r="AA16" s="46"/>
      <c r="AB16" s="46"/>
      <c r="AC16" s="46"/>
      <c r="AD16" s="46"/>
      <c r="AE16" s="80"/>
    </row>
    <row r="17" spans="2:51" ht="15.6" x14ac:dyDescent="0.3">
      <c r="B17" s="54"/>
      <c r="C17" s="54"/>
      <c r="D17" s="54"/>
      <c r="E17" s="54"/>
      <c r="F17" s="54"/>
      <c r="G17" s="54"/>
      <c r="AE17" s="47"/>
    </row>
    <row r="18" spans="2:51" x14ac:dyDescent="0.25">
      <c r="AE18" s="47"/>
    </row>
    <row r="19" spans="2:51" x14ac:dyDescent="0.25">
      <c r="V19" s="51"/>
      <c r="W19" s="51"/>
      <c r="X19" s="51"/>
      <c r="Y19" s="51"/>
      <c r="Z19" s="51"/>
      <c r="AA19" s="51"/>
      <c r="AB19" s="51"/>
      <c r="AC19" s="51"/>
      <c r="AD19" s="51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2" spans="2:51" x14ac:dyDescent="0.25">
      <c r="V22" s="50" t="s">
        <v>17</v>
      </c>
      <c r="W22" s="50"/>
      <c r="X22" s="51"/>
      <c r="Y22" s="51"/>
      <c r="Z22" s="51"/>
      <c r="AA22" s="51"/>
      <c r="AB22" s="51"/>
      <c r="AC22" s="51"/>
      <c r="AD22" s="51"/>
    </row>
    <row r="23" spans="2:51" x14ac:dyDescent="0.25">
      <c r="D23" s="56" t="s">
        <v>0</v>
      </c>
      <c r="E23" s="56"/>
      <c r="F23" s="56"/>
      <c r="H23" s="56"/>
      <c r="V23" s="52" t="s">
        <v>15</v>
      </c>
      <c r="W23" s="53" t="s">
        <v>42</v>
      </c>
      <c r="X23" s="52" t="s">
        <v>1</v>
      </c>
      <c r="Y23" s="52" t="s">
        <v>2</v>
      </c>
      <c r="Z23" s="52" t="s">
        <v>18</v>
      </c>
      <c r="AA23" s="52" t="s">
        <v>19</v>
      </c>
      <c r="AB23" s="52" t="s">
        <v>20</v>
      </c>
      <c r="AC23" s="52" t="s">
        <v>21</v>
      </c>
      <c r="AD23" s="52" t="s">
        <v>22</v>
      </c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</row>
    <row r="24" spans="2:51" ht="24" customHeight="1" thickBot="1" x14ac:dyDescent="0.3">
      <c r="B24" s="57" t="s">
        <v>1</v>
      </c>
      <c r="C24" s="57" t="s">
        <v>3</v>
      </c>
      <c r="D24" s="57" t="s">
        <v>4</v>
      </c>
      <c r="E24" s="58" t="s">
        <v>129</v>
      </c>
      <c r="F24" s="58" t="s">
        <v>16</v>
      </c>
      <c r="G24" s="58" t="s">
        <v>34</v>
      </c>
      <c r="H24" s="58" t="s">
        <v>47</v>
      </c>
      <c r="I24" s="58" t="s">
        <v>36</v>
      </c>
      <c r="J24" s="60" t="s">
        <v>5</v>
      </c>
      <c r="K24" s="60" t="s">
        <v>107</v>
      </c>
      <c r="L24" s="58" t="s">
        <v>56</v>
      </c>
      <c r="M24" s="60" t="s">
        <v>112</v>
      </c>
      <c r="N24" s="59" t="s">
        <v>122</v>
      </c>
      <c r="O24" s="60" t="s">
        <v>131</v>
      </c>
      <c r="P24" s="60" t="s">
        <v>132</v>
      </c>
      <c r="Q24" s="60" t="s">
        <v>133</v>
      </c>
      <c r="R24" s="60" t="s">
        <v>134</v>
      </c>
      <c r="S24" s="60" t="s">
        <v>142</v>
      </c>
      <c r="V24" s="31" t="s">
        <v>50</v>
      </c>
      <c r="W24" s="31" t="s">
        <v>44</v>
      </c>
      <c r="X24" s="31" t="s">
        <v>27</v>
      </c>
      <c r="Y24" s="31" t="s">
        <v>28</v>
      </c>
      <c r="Z24" s="31" t="s">
        <v>29</v>
      </c>
      <c r="AA24" s="31" t="s">
        <v>30</v>
      </c>
      <c r="AB24" s="31" t="s">
        <v>51</v>
      </c>
      <c r="AC24" s="31" t="s">
        <v>52</v>
      </c>
      <c r="AD24" s="31" t="s">
        <v>31</v>
      </c>
      <c r="AI24"/>
      <c r="AJ24" s="3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Y24" s="47"/>
    </row>
    <row r="25" spans="2:51" ht="31.8" thickBot="1" x14ac:dyDescent="0.3">
      <c r="B25" s="32" t="s">
        <v>48</v>
      </c>
      <c r="C25" s="32" t="s">
        <v>32</v>
      </c>
      <c r="D25" s="32" t="s">
        <v>33</v>
      </c>
      <c r="E25" s="32" t="s">
        <v>54</v>
      </c>
      <c r="F25" s="32" t="s">
        <v>35</v>
      </c>
      <c r="G25" s="33" t="s">
        <v>49</v>
      </c>
      <c r="H25" s="32" t="s">
        <v>57</v>
      </c>
      <c r="I25" s="32" t="s">
        <v>86</v>
      </c>
      <c r="J25" s="33" t="s">
        <v>37</v>
      </c>
      <c r="K25" s="33" t="s">
        <v>108</v>
      </c>
      <c r="L25" s="33" t="s">
        <v>80</v>
      </c>
      <c r="M25" s="33" t="s">
        <v>113</v>
      </c>
      <c r="N25" s="32" t="s">
        <v>85</v>
      </c>
      <c r="O25" s="33" t="s">
        <v>130</v>
      </c>
      <c r="P25" s="33" t="s">
        <v>130</v>
      </c>
      <c r="Q25" s="33" t="s">
        <v>130</v>
      </c>
      <c r="R25" s="76" t="s">
        <v>130</v>
      </c>
      <c r="S25" s="76" t="s">
        <v>143</v>
      </c>
      <c r="V25" s="31" t="s">
        <v>81</v>
      </c>
      <c r="W25" s="31"/>
      <c r="X25" s="31"/>
      <c r="Y25" s="31"/>
      <c r="Z25" s="31"/>
      <c r="AA25" s="31"/>
      <c r="AB25" s="31"/>
      <c r="AC25" s="31"/>
      <c r="AD25" s="31"/>
      <c r="AI25"/>
      <c r="AJ25" s="39"/>
      <c r="AY25" s="47"/>
    </row>
    <row r="26" spans="2:51" ht="33.75" customHeight="1" thickBot="1" x14ac:dyDescent="0.3">
      <c r="B26" s="34" t="s">
        <v>53</v>
      </c>
      <c r="C26" s="34"/>
      <c r="D26" s="34"/>
      <c r="E26" s="35"/>
      <c r="F26" s="35"/>
      <c r="G26" s="36"/>
      <c r="H26" s="35" t="s">
        <v>54</v>
      </c>
      <c r="I26" s="35" t="s">
        <v>121</v>
      </c>
      <c r="J26" s="35" t="s">
        <v>121</v>
      </c>
      <c r="K26" s="35" t="s">
        <v>154</v>
      </c>
      <c r="L26" s="36"/>
      <c r="M26" s="36" t="s">
        <v>114</v>
      </c>
      <c r="N26" s="35"/>
      <c r="O26" s="36"/>
      <c r="P26" s="36"/>
      <c r="Q26" s="36"/>
      <c r="R26" s="35"/>
      <c r="S26" s="77"/>
      <c r="V26" s="61" t="s">
        <v>145</v>
      </c>
      <c r="W26" s="61"/>
      <c r="X26" s="62" t="s">
        <v>66</v>
      </c>
      <c r="Y26" s="63" t="s">
        <v>144</v>
      </c>
      <c r="Z26" s="46" t="s">
        <v>58</v>
      </c>
      <c r="AA26" s="46" t="s">
        <v>87</v>
      </c>
      <c r="AB26" s="64" t="s">
        <v>88</v>
      </c>
      <c r="AC26" s="47"/>
      <c r="AD26" s="47"/>
      <c r="AI26"/>
      <c r="AJ26" s="39"/>
      <c r="AY26" s="47"/>
    </row>
    <row r="27" spans="2:51" x14ac:dyDescent="0.25">
      <c r="B27" s="46" t="str">
        <f>X26</f>
        <v>Furnace</v>
      </c>
      <c r="C27" s="46" t="s">
        <v>69</v>
      </c>
      <c r="D27" s="51" t="s">
        <v>116</v>
      </c>
      <c r="E27" s="44">
        <v>2030</v>
      </c>
      <c r="F27" s="65">
        <v>1</v>
      </c>
      <c r="G27" s="65">
        <v>1</v>
      </c>
      <c r="H27" s="44">
        <v>25</v>
      </c>
      <c r="I27" s="65">
        <v>81</v>
      </c>
      <c r="J27" s="65">
        <v>0</v>
      </c>
      <c r="K27" s="65">
        <v>0.24</v>
      </c>
      <c r="L27" s="65">
        <v>8.76</v>
      </c>
      <c r="M27" s="44"/>
      <c r="N27" s="69"/>
      <c r="O27" s="69"/>
      <c r="P27" s="69"/>
      <c r="Q27" s="69"/>
      <c r="R27" s="69"/>
      <c r="S27" s="44"/>
      <c r="V27" s="61" t="s">
        <v>145</v>
      </c>
      <c r="W27" s="61"/>
      <c r="X27" s="62" t="s">
        <v>101</v>
      </c>
      <c r="Y27" s="63" t="s">
        <v>100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X$27</f>
        <v>BIOBoiler</v>
      </c>
      <c r="C28" s="46" t="str">
        <f>PRI_Sector_Fuels!P5</f>
        <v>MANBIOMIN</v>
      </c>
      <c r="D28" s="51" t="s">
        <v>116</v>
      </c>
      <c r="E28" s="44">
        <v>2030</v>
      </c>
      <c r="F28" s="65">
        <v>0.7</v>
      </c>
      <c r="G28" s="65">
        <v>0.98</v>
      </c>
      <c r="H28" s="44">
        <v>25</v>
      </c>
      <c r="I28" s="65">
        <v>797.9</v>
      </c>
      <c r="J28" s="65">
        <v>48.48</v>
      </c>
      <c r="K28" s="65">
        <v>3.75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145</v>
      </c>
      <c r="W28" s="61"/>
      <c r="X28" s="62" t="s">
        <v>102</v>
      </c>
      <c r="Y28" s="63" t="s">
        <v>148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Y28" s="47"/>
    </row>
    <row r="29" spans="2:51" x14ac:dyDescent="0.25">
      <c r="B29" s="46" t="str">
        <f>X30</f>
        <v>ELCBoiler</v>
      </c>
      <c r="C29" s="46" t="s">
        <v>69</v>
      </c>
      <c r="D29" s="51" t="s">
        <v>116</v>
      </c>
      <c r="E29" s="44">
        <v>2030</v>
      </c>
      <c r="F29" s="65">
        <v>0.99</v>
      </c>
      <c r="G29" s="65">
        <v>1</v>
      </c>
      <c r="H29" s="44">
        <v>25</v>
      </c>
      <c r="I29" s="65">
        <v>112.9</v>
      </c>
      <c r="J29" s="65">
        <v>14.26</v>
      </c>
      <c r="K29" s="65">
        <v>1.22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145</v>
      </c>
      <c r="W29" s="61"/>
      <c r="X29" s="62" t="s">
        <v>103</v>
      </c>
      <c r="Y29" s="63" t="s">
        <v>104</v>
      </c>
      <c r="Z29" s="46" t="s">
        <v>58</v>
      </c>
      <c r="AA29" s="46" t="s">
        <v>87</v>
      </c>
      <c r="AB29" s="64" t="s">
        <v>88</v>
      </c>
      <c r="AC29" s="47"/>
      <c r="AD29" s="47"/>
      <c r="AI29"/>
      <c r="AJ29" s="39"/>
      <c r="AY29" s="47"/>
    </row>
    <row r="30" spans="2:51" s="47" customFormat="1" x14ac:dyDescent="0.25">
      <c r="B30" s="46" t="str">
        <f>X28</f>
        <v>BIOKiln</v>
      </c>
      <c r="C30" s="46" t="str">
        <f>PRI_Sector_Fuels!P5</f>
        <v>MANBIOMIN</v>
      </c>
      <c r="D30" s="51" t="s">
        <v>117</v>
      </c>
      <c r="E30" s="44">
        <v>2030</v>
      </c>
      <c r="F30" s="65">
        <v>0.55600000000000005</v>
      </c>
      <c r="G30" s="65">
        <v>0.98</v>
      </c>
      <c r="H30" s="44">
        <v>25</v>
      </c>
      <c r="I30" s="65">
        <v>297.10000000000002</v>
      </c>
      <c r="J30" s="65">
        <v>4.46</v>
      </c>
      <c r="K30" s="65">
        <v>0.45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145</v>
      </c>
      <c r="W30" s="61"/>
      <c r="X30" s="62" t="s">
        <v>105</v>
      </c>
      <c r="Y30" s="63" t="s">
        <v>147</v>
      </c>
      <c r="Z30" s="46" t="s">
        <v>58</v>
      </c>
      <c r="AA30" s="46" t="s">
        <v>87</v>
      </c>
      <c r="AB30" s="64" t="s">
        <v>88</v>
      </c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X29</f>
        <v>GASBoiler</v>
      </c>
      <c r="C31" s="46" t="str">
        <f>PRI_Sector_Fuels!P6</f>
        <v>MANGASMIN</v>
      </c>
      <c r="D31" s="51" t="s">
        <v>116</v>
      </c>
      <c r="E31" s="44">
        <v>2030</v>
      </c>
      <c r="F31" s="65">
        <v>0.75</v>
      </c>
      <c r="G31" s="65">
        <v>0.99</v>
      </c>
      <c r="H31" s="44">
        <v>25</v>
      </c>
      <c r="I31" s="65">
        <v>61.4</v>
      </c>
      <c r="J31" s="65">
        <v>2.57</v>
      </c>
      <c r="K31" s="65">
        <v>1.35</v>
      </c>
      <c r="L31" s="65">
        <v>8.76</v>
      </c>
      <c r="M31" s="44"/>
      <c r="N31" s="69"/>
      <c r="O31" s="44"/>
      <c r="P31" s="44"/>
      <c r="Q31" s="44"/>
      <c r="R31" s="44"/>
      <c r="S31" s="44"/>
      <c r="V31" s="61" t="s">
        <v>145</v>
      </c>
      <c r="W31" s="61"/>
      <c r="X31" s="62" t="s">
        <v>65</v>
      </c>
      <c r="Y31" s="63" t="s">
        <v>106</v>
      </c>
      <c r="Z31" s="46" t="s">
        <v>58</v>
      </c>
      <c r="AA31" s="46" t="s">
        <v>87</v>
      </c>
      <c r="AB31" s="47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X32</f>
        <v>WNDTRBN</v>
      </c>
      <c r="C32" s="46" t="str">
        <f>PRI_Sector_Fuels!D28</f>
        <v>WIND</v>
      </c>
      <c r="D32" s="51" t="s">
        <v>149</v>
      </c>
      <c r="E32" s="44">
        <v>2030</v>
      </c>
      <c r="F32" s="86">
        <v>1</v>
      </c>
      <c r="G32" s="65">
        <v>0.97</v>
      </c>
      <c r="H32" s="44">
        <v>25</v>
      </c>
      <c r="I32" s="65">
        <v>1041</v>
      </c>
      <c r="J32" s="65">
        <v>38</v>
      </c>
      <c r="K32" s="65">
        <v>0</v>
      </c>
      <c r="L32" s="65">
        <v>8.76</v>
      </c>
      <c r="M32" s="69"/>
      <c r="N32" s="69"/>
      <c r="O32" s="65"/>
      <c r="P32" s="65"/>
      <c r="Q32" s="65"/>
      <c r="R32" s="69"/>
      <c r="S32" s="44">
        <v>0.2</v>
      </c>
      <c r="V32" s="61" t="s">
        <v>69</v>
      </c>
      <c r="W32" s="61"/>
      <c r="X32" s="62" t="s">
        <v>93</v>
      </c>
      <c r="Y32" s="63" t="s">
        <v>96</v>
      </c>
      <c r="Z32" s="46" t="s">
        <v>58</v>
      </c>
      <c r="AA32" s="46" t="s">
        <v>87</v>
      </c>
      <c r="AB32" s="47" t="s">
        <v>88</v>
      </c>
      <c r="AI32"/>
      <c r="AJ32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</row>
    <row r="33" spans="2:49" s="47" customFormat="1" x14ac:dyDescent="0.25">
      <c r="B33" s="51" t="str">
        <f>X33</f>
        <v>SOLPV</v>
      </c>
      <c r="C33" s="46" t="str">
        <f>PRI_Sector_Fuels!D29</f>
        <v>SOLAR</v>
      </c>
      <c r="D33" s="51" t="s">
        <v>150</v>
      </c>
      <c r="E33" s="44">
        <v>2030</v>
      </c>
      <c r="F33" s="86">
        <v>1</v>
      </c>
      <c r="G33" s="65">
        <v>0.99</v>
      </c>
      <c r="H33" s="44">
        <v>25</v>
      </c>
      <c r="I33" s="65">
        <v>691</v>
      </c>
      <c r="J33" s="65">
        <v>6.99</v>
      </c>
      <c r="K33" s="65">
        <v>0</v>
      </c>
      <c r="L33" s="65">
        <v>8.76</v>
      </c>
      <c r="M33" s="69"/>
      <c r="N33" s="69"/>
      <c r="O33" s="65"/>
      <c r="P33" s="65"/>
      <c r="Q33" s="65"/>
      <c r="R33" s="69"/>
      <c r="S33" s="44">
        <v>0.3</v>
      </c>
      <c r="V33" s="61" t="s">
        <v>69</v>
      </c>
      <c r="W33" s="61"/>
      <c r="X33" s="62" t="s">
        <v>94</v>
      </c>
      <c r="Y33" s="63" t="s">
        <v>95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X31</f>
        <v>CSP</v>
      </c>
      <c r="C34" s="46" t="str">
        <f>PRI_Sector_Fuels!D29</f>
        <v>SOLAR</v>
      </c>
      <c r="D34" s="51" t="s">
        <v>116</v>
      </c>
      <c r="E34" s="44">
        <v>2030</v>
      </c>
      <c r="F34" s="86">
        <v>1</v>
      </c>
      <c r="G34" s="65">
        <v>1</v>
      </c>
      <c r="H34" s="44">
        <v>25</v>
      </c>
      <c r="I34" s="65">
        <v>3677</v>
      </c>
      <c r="J34" s="65">
        <v>0</v>
      </c>
      <c r="K34" s="65">
        <v>14</v>
      </c>
      <c r="L34" s="65">
        <v>8.76</v>
      </c>
      <c r="M34" s="69"/>
      <c r="N34" s="69"/>
      <c r="O34" s="65"/>
      <c r="P34" s="65"/>
      <c r="Q34" s="65"/>
      <c r="R34" s="69"/>
      <c r="S34" s="44"/>
      <c r="V34" s="61" t="s">
        <v>69</v>
      </c>
      <c r="W34" s="61"/>
      <c r="X34" s="62" t="s">
        <v>146</v>
      </c>
      <c r="Y34" s="63" t="s">
        <v>153</v>
      </c>
      <c r="Z34" s="46" t="s">
        <v>58</v>
      </c>
      <c r="AA34" s="46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X29</f>
        <v>GASBoiler</v>
      </c>
      <c r="C35" s="46"/>
      <c r="D35" s="51" t="s">
        <v>115</v>
      </c>
      <c r="E35" s="44">
        <v>2030</v>
      </c>
      <c r="F35" s="86">
        <v>1</v>
      </c>
      <c r="G35" s="65">
        <v>1</v>
      </c>
      <c r="H35" s="44">
        <v>25</v>
      </c>
      <c r="I35" s="65">
        <v>0</v>
      </c>
      <c r="J35" s="65">
        <v>0</v>
      </c>
      <c r="K35" s="65">
        <v>0</v>
      </c>
      <c r="L35" s="65">
        <v>8.76</v>
      </c>
      <c r="M35" s="69"/>
      <c r="N35" s="69"/>
      <c r="O35" s="65"/>
      <c r="P35" s="65"/>
      <c r="Q35" s="65"/>
      <c r="R35" s="69"/>
      <c r="S35" s="44"/>
      <c r="V35" s="61" t="s">
        <v>69</v>
      </c>
      <c r="W35" s="61"/>
      <c r="X35" s="62" t="s">
        <v>157</v>
      </c>
      <c r="Y35" s="63" t="s">
        <v>156</v>
      </c>
      <c r="Z35" s="46" t="s">
        <v>58</v>
      </c>
      <c r="AA35" s="46" t="s">
        <v>87</v>
      </c>
      <c r="AB35" s="47" t="s">
        <v>88</v>
      </c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88" t="str">
        <f>X34</f>
        <v>DECELC</v>
      </c>
      <c r="C36" s="51" t="s">
        <v>149</v>
      </c>
      <c r="D36" s="51" t="s">
        <v>69</v>
      </c>
      <c r="E36" s="44">
        <v>2030</v>
      </c>
      <c r="F36" s="47">
        <v>1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88" t="str">
        <f>X34</f>
        <v>DECELC</v>
      </c>
      <c r="C37" s="51" t="s">
        <v>150</v>
      </c>
      <c r="D37" s="51" t="s">
        <v>69</v>
      </c>
      <c r="E37" s="44">
        <v>2030</v>
      </c>
      <c r="F37" s="47">
        <v>1</v>
      </c>
      <c r="G37" s="47">
        <v>1</v>
      </c>
      <c r="H37" s="44">
        <v>100</v>
      </c>
      <c r="I37" s="65">
        <v>0</v>
      </c>
      <c r="J37" s="46">
        <v>0</v>
      </c>
      <c r="K37" s="47">
        <v>0</v>
      </c>
      <c r="L37" s="65">
        <v>8.76</v>
      </c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51" t="str">
        <f>X35</f>
        <v>BIOPOWER</v>
      </c>
      <c r="C38" s="51" t="s">
        <v>68</v>
      </c>
      <c r="D38" s="51" t="s">
        <v>155</v>
      </c>
      <c r="E38" s="44">
        <v>2030</v>
      </c>
      <c r="F38" s="47">
        <v>0.35</v>
      </c>
      <c r="G38" s="47">
        <v>0.98</v>
      </c>
      <c r="H38" s="44">
        <v>20</v>
      </c>
      <c r="I38" s="89">
        <v>3242</v>
      </c>
      <c r="J38" s="65">
        <v>129.68</v>
      </c>
      <c r="K38" s="65">
        <v>0</v>
      </c>
      <c r="L38" s="65">
        <v>8.76</v>
      </c>
      <c r="M38" s="69"/>
      <c r="N38" s="69"/>
      <c r="O38" s="65"/>
      <c r="P38" s="65"/>
      <c r="Q38" s="65"/>
      <c r="R38" s="69"/>
      <c r="S38" s="44"/>
      <c r="V38" s="46"/>
      <c r="W38" s="46"/>
      <c r="X38" s="46"/>
      <c r="Y38" s="46"/>
      <c r="Z38" s="46"/>
      <c r="AA38" s="46"/>
      <c r="AC38" s="46"/>
      <c r="AD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51" t="s">
        <v>146</v>
      </c>
      <c r="C39" s="46" t="s">
        <v>155</v>
      </c>
      <c r="D39" s="51" t="s">
        <v>69</v>
      </c>
      <c r="E39" s="44">
        <v>2030</v>
      </c>
      <c r="F39" s="86">
        <v>1</v>
      </c>
      <c r="G39" s="65">
        <v>1</v>
      </c>
      <c r="H39" s="47">
        <v>100</v>
      </c>
      <c r="I39" s="47">
        <v>0</v>
      </c>
      <c r="J39" s="47">
        <v>0</v>
      </c>
      <c r="K39" s="47">
        <v>0</v>
      </c>
      <c r="L39" s="47">
        <v>0</v>
      </c>
      <c r="M39" s="69"/>
      <c r="N39" s="69"/>
      <c r="O39" s="65"/>
      <c r="P39" s="65"/>
      <c r="Q39" s="65"/>
      <c r="R39" s="69"/>
      <c r="S39" s="44"/>
      <c r="AI39"/>
      <c r="AJ39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</row>
    <row r="40" spans="2:49" s="47" customFormat="1" x14ac:dyDescent="0.25">
      <c r="B40" s="46"/>
      <c r="C40" s="51"/>
      <c r="D40" s="87"/>
      <c r="E40" s="44"/>
      <c r="F40" s="65"/>
      <c r="G40" s="65"/>
      <c r="H40" s="44"/>
      <c r="I40" s="65"/>
      <c r="J40" s="65"/>
      <c r="K40" s="65"/>
      <c r="L40" s="65"/>
      <c r="M40" s="69"/>
      <c r="N40" s="69"/>
      <c r="O40" s="65"/>
      <c r="P40" s="65"/>
      <c r="Q40" s="65"/>
      <c r="R40" s="69"/>
      <c r="S40" s="44"/>
      <c r="V40" s="46"/>
      <c r="W40" s="46"/>
      <c r="X40" s="46"/>
      <c r="Y40" s="46"/>
      <c r="Z40" s="46"/>
      <c r="AA40" s="46"/>
      <c r="AB40" s="46"/>
      <c r="AC40" s="46"/>
      <c r="AD40" s="46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46"/>
      <c r="C41" s="51"/>
      <c r="D41" s="87"/>
      <c r="E41" s="44"/>
      <c r="F41" s="65"/>
      <c r="G41" s="65"/>
      <c r="H41" s="44"/>
      <c r="I41" s="65"/>
      <c r="J41" s="65"/>
      <c r="K41" s="65"/>
      <c r="L41" s="65"/>
      <c r="M41" s="69"/>
      <c r="N41" s="69"/>
      <c r="O41" s="65"/>
      <c r="P41" s="65"/>
      <c r="Q41" s="65"/>
      <c r="R41" s="69"/>
      <c r="S41" s="44"/>
      <c r="V41" s="46"/>
      <c r="W41" s="46"/>
      <c r="X41" s="46"/>
      <c r="Y41" s="46"/>
      <c r="Z41" s="46"/>
      <c r="AA41" s="46"/>
      <c r="AB41" s="46"/>
      <c r="AC41" s="46"/>
      <c r="AD41" s="46"/>
      <c r="AI41"/>
      <c r="AJ41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</row>
    <row r="42" spans="2:49" s="47" customFormat="1" x14ac:dyDescent="0.25">
      <c r="B42" s="46"/>
      <c r="C42" s="51"/>
      <c r="D42" s="87"/>
      <c r="E42" s="44"/>
      <c r="F42" s="65"/>
      <c r="G42" s="65"/>
      <c r="H42" s="44"/>
      <c r="I42" s="65"/>
      <c r="J42" s="65"/>
      <c r="K42" s="65"/>
      <c r="L42" s="65"/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</row>
    <row r="43" spans="2:49" s="47" customFormat="1" x14ac:dyDescent="0.25">
      <c r="B43" s="51"/>
      <c r="C43" s="51"/>
      <c r="D43" s="51"/>
      <c r="E43" s="44"/>
      <c r="F43" s="65"/>
      <c r="G43" s="65"/>
      <c r="H43" s="44"/>
      <c r="I43" s="65"/>
      <c r="J43" s="65"/>
      <c r="K43" s="65"/>
      <c r="L43" s="65"/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51"/>
      <c r="C44" s="51"/>
      <c r="D44" s="51"/>
      <c r="E44" s="44"/>
      <c r="H44" s="44"/>
      <c r="I44" s="65"/>
      <c r="J44" s="46"/>
      <c r="L44" s="65"/>
      <c r="M44" s="69"/>
      <c r="N44" s="69"/>
      <c r="O44" s="65"/>
      <c r="P44" s="65"/>
      <c r="Q44" s="65"/>
      <c r="R44" s="69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/>
      <c r="C45" s="51"/>
      <c r="D45" s="51"/>
      <c r="E45" s="44"/>
      <c r="H45" s="44"/>
      <c r="I45" s="65"/>
      <c r="J45" s="46"/>
      <c r="L45" s="65"/>
      <c r="M45" s="44"/>
      <c r="N45" s="69"/>
      <c r="O45" s="44"/>
      <c r="P45" s="44"/>
      <c r="Q45" s="44"/>
      <c r="R45" s="44"/>
      <c r="S45" s="44"/>
      <c r="V45" s="38"/>
      <c r="W45" s="38"/>
      <c r="X45" s="39"/>
      <c r="Y45" s="40"/>
      <c r="Z45" s="38"/>
      <c r="AA45" s="38"/>
      <c r="AB45" s="38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46"/>
      <c r="C46" s="51"/>
      <c r="D46" s="51"/>
      <c r="E46" s="65"/>
      <c r="F46" s="66"/>
      <c r="K46" s="46"/>
      <c r="N46" s="66"/>
      <c r="V46" s="38"/>
      <c r="W46" s="38"/>
      <c r="X46" s="39"/>
      <c r="Y46" s="40"/>
      <c r="Z46" s="38"/>
      <c r="AA46" s="38"/>
      <c r="AB46" s="38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51"/>
      <c r="D47" s="51"/>
      <c r="E47" s="65"/>
      <c r="F47" s="66"/>
      <c r="J47" s="67"/>
      <c r="K47" s="46"/>
      <c r="N47" s="66"/>
      <c r="V47" s="46"/>
      <c r="W47" s="46"/>
      <c r="X47" s="46"/>
      <c r="Y47" s="46"/>
      <c r="Z47" s="51"/>
      <c r="AA47" s="51"/>
      <c r="AB47" s="64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51"/>
      <c r="C48" s="46"/>
      <c r="D48" s="51"/>
      <c r="E48" s="65"/>
      <c r="F48" s="68"/>
      <c r="G48" s="46"/>
      <c r="H48" s="46"/>
      <c r="I48" s="46"/>
      <c r="J48" s="69"/>
      <c r="K48" s="46"/>
      <c r="V48" s="46"/>
      <c r="X48" s="46"/>
      <c r="Z48" s="55"/>
      <c r="AA48" s="55"/>
      <c r="AB48" s="46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8" s="47" customFormat="1" x14ac:dyDescent="0.25">
      <c r="B49" s="46"/>
      <c r="C49" s="46"/>
      <c r="D49" s="46"/>
      <c r="E49" s="65"/>
      <c r="F49" s="68"/>
      <c r="G49" s="46"/>
      <c r="H49" s="46"/>
      <c r="I49" s="46"/>
      <c r="J49" s="69"/>
      <c r="K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I49"/>
      <c r="AJ49"/>
      <c r="AK49" s="39"/>
      <c r="AL49" s="39"/>
      <c r="AM49" s="46"/>
      <c r="AN49" s="46"/>
      <c r="AO49" s="46"/>
      <c r="AQ49"/>
      <c r="AR49"/>
      <c r="AS49" s="39"/>
      <c r="AT49" s="39"/>
      <c r="AU49" s="46"/>
      <c r="AV49" s="46"/>
    </row>
    <row r="50" spans="1:48" x14ac:dyDescent="0.25">
      <c r="A50" s="47"/>
      <c r="F50" s="68"/>
      <c r="G50" s="44"/>
      <c r="H50" s="70"/>
      <c r="M50" s="47"/>
      <c r="N50" s="47"/>
      <c r="O50" s="47"/>
      <c r="P50" s="47"/>
      <c r="Q50" s="47"/>
      <c r="R50" s="47"/>
      <c r="S50" s="47"/>
      <c r="AI50"/>
      <c r="AJ50"/>
      <c r="AK50" s="39"/>
      <c r="AL50" s="39"/>
      <c r="AP50" s="47"/>
      <c r="AQ50"/>
      <c r="AR50"/>
      <c r="AS50" s="39"/>
      <c r="AT50" s="39"/>
    </row>
    <row r="51" spans="1:48" x14ac:dyDescent="0.25">
      <c r="A51" s="47"/>
      <c r="H51" s="70"/>
      <c r="M51" s="47"/>
      <c r="N51" s="47"/>
      <c r="O51" s="47"/>
      <c r="P51" s="47"/>
      <c r="Q51" s="47"/>
      <c r="R51" s="47"/>
      <c r="S51" s="47"/>
      <c r="AI51"/>
      <c r="AJ51"/>
      <c r="AK51" s="39"/>
      <c r="AL51" s="39"/>
      <c r="AP51" s="47"/>
      <c r="AQ51"/>
      <c r="AR51"/>
      <c r="AS51" s="39"/>
      <c r="AT51" s="39"/>
    </row>
    <row r="52" spans="1:48" x14ac:dyDescent="0.25">
      <c r="B52" s="71"/>
      <c r="C52" s="46" t="s">
        <v>82</v>
      </c>
      <c r="H52" s="70"/>
      <c r="AI52"/>
      <c r="AJ52"/>
      <c r="AK52" s="39"/>
      <c r="AL52" s="39"/>
      <c r="AQ52"/>
      <c r="AR52"/>
      <c r="AS52" s="39"/>
      <c r="AT52" s="39"/>
    </row>
    <row r="53" spans="1:48" x14ac:dyDescent="0.25">
      <c r="B53" s="72"/>
      <c r="C53" s="46" t="s">
        <v>83</v>
      </c>
      <c r="H53" s="70"/>
      <c r="AI53"/>
      <c r="AJ53"/>
      <c r="AK53" s="39"/>
      <c r="AL53" s="39"/>
      <c r="AQ53"/>
      <c r="AR53"/>
      <c r="AS53" s="39"/>
      <c r="AT53" s="39"/>
    </row>
    <row r="54" spans="1:48" x14ac:dyDescent="0.25">
      <c r="E54" s="46" t="s">
        <v>89</v>
      </c>
      <c r="F54" s="46" t="s">
        <v>90</v>
      </c>
      <c r="H54" s="70"/>
      <c r="AI54"/>
      <c r="AJ54"/>
      <c r="AK54" s="39"/>
      <c r="AL54" s="39"/>
      <c r="AQ54"/>
      <c r="AR54"/>
      <c r="AS54" s="39"/>
      <c r="AT54" s="39"/>
    </row>
    <row r="55" spans="1:48" x14ac:dyDescent="0.25">
      <c r="AI55"/>
      <c r="AJ55"/>
      <c r="AK55" s="39"/>
      <c r="AL55" s="39"/>
      <c r="AQ55"/>
      <c r="AR55"/>
      <c r="AS55" s="39"/>
      <c r="AT55" s="39"/>
    </row>
    <row r="56" spans="1:48" x14ac:dyDescent="0.25">
      <c r="E56" s="46" t="s">
        <v>91</v>
      </c>
      <c r="F56" s="46">
        <f>24*365</f>
        <v>8760</v>
      </c>
      <c r="AI56"/>
      <c r="AJ56"/>
      <c r="AK56" s="39"/>
      <c r="AL56" s="39"/>
      <c r="AQ56"/>
      <c r="AR56"/>
      <c r="AS56" s="39"/>
      <c r="AT56" s="39"/>
    </row>
    <row r="57" spans="1:48" x14ac:dyDescent="0.25">
      <c r="E57" s="44"/>
      <c r="AI57"/>
      <c r="AJ57"/>
      <c r="AK57" s="39"/>
      <c r="AL57" s="39"/>
      <c r="AQ57"/>
      <c r="AR57"/>
      <c r="AS57" s="39"/>
      <c r="AT57" s="39"/>
    </row>
    <row r="58" spans="1:48" x14ac:dyDescent="0.25">
      <c r="AI58"/>
      <c r="AJ58"/>
      <c r="AK58" s="39"/>
      <c r="AL58" s="39"/>
      <c r="AQ58"/>
      <c r="AR58"/>
      <c r="AS58" s="39"/>
      <c r="AT58" s="39"/>
    </row>
    <row r="59" spans="1:48" x14ac:dyDescent="0.25">
      <c r="AI59"/>
      <c r="AJ59"/>
      <c r="AK59" s="39"/>
      <c r="AL59" s="39"/>
      <c r="AQ59"/>
      <c r="AR59"/>
      <c r="AS59" s="39"/>
      <c r="AT59" s="39"/>
    </row>
    <row r="60" spans="1:48" x14ac:dyDescent="0.25">
      <c r="AI60"/>
      <c r="AJ60"/>
      <c r="AK60" s="39"/>
      <c r="AL60" s="39"/>
      <c r="AQ60"/>
      <c r="AR60"/>
      <c r="AS60" s="39"/>
      <c r="AT60" s="39"/>
    </row>
    <row r="61" spans="1:48" x14ac:dyDescent="0.25">
      <c r="AI61"/>
      <c r="AJ61"/>
      <c r="AK61" s="39"/>
      <c r="AL61" s="39"/>
      <c r="AQ61"/>
      <c r="AR61"/>
      <c r="AS61" s="39"/>
      <c r="AT61" s="39"/>
    </row>
    <row r="62" spans="1:48" x14ac:dyDescent="0.25">
      <c r="AI62"/>
      <c r="AJ62"/>
      <c r="AK62" s="39"/>
      <c r="AL62" s="39"/>
      <c r="AQ62"/>
      <c r="AR62"/>
      <c r="AS62" s="39"/>
      <c r="AT62" s="39"/>
    </row>
    <row r="63" spans="1:48" x14ac:dyDescent="0.25">
      <c r="AI63"/>
      <c r="AJ63"/>
      <c r="AK63" s="39"/>
      <c r="AL63" s="39"/>
      <c r="AQ63"/>
      <c r="AR63"/>
      <c r="AS63" s="39"/>
      <c r="AT63" s="39"/>
    </row>
    <row r="64" spans="1:48" x14ac:dyDescent="0.25">
      <c r="B64" s="74" t="s">
        <v>123</v>
      </c>
      <c r="C64" s="74"/>
      <c r="D64"/>
      <c r="E64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ht="13.8" thickBot="1" x14ac:dyDescent="0.3">
      <c r="B65" s="75" t="s">
        <v>124</v>
      </c>
      <c r="C65" s="75" t="s">
        <v>125</v>
      </c>
      <c r="D65" s="75" t="s">
        <v>11</v>
      </c>
      <c r="E65" s="75" t="s">
        <v>118</v>
      </c>
      <c r="F65" s="75">
        <v>2022</v>
      </c>
      <c r="G65" s="75">
        <v>2025</v>
      </c>
      <c r="H65" s="75">
        <v>2030</v>
      </c>
      <c r="I65" s="75">
        <v>2035</v>
      </c>
      <c r="J65" s="75">
        <v>2040</v>
      </c>
      <c r="K65" s="75">
        <v>2045</v>
      </c>
      <c r="L65" s="75">
        <v>2050</v>
      </c>
      <c r="AI65"/>
      <c r="AJ65"/>
      <c r="AK65" s="39"/>
      <c r="AL65" s="39"/>
      <c r="AQ65"/>
      <c r="AR65"/>
      <c r="AS65" s="39"/>
      <c r="AT65" s="39"/>
    </row>
    <row r="66" spans="1:48" x14ac:dyDescent="0.25">
      <c r="B66" t="s">
        <v>111</v>
      </c>
      <c r="C66" t="s">
        <v>94</v>
      </c>
      <c r="D66" t="s">
        <v>127</v>
      </c>
      <c r="E66" s="1" t="s">
        <v>128</v>
      </c>
      <c r="F66">
        <v>0</v>
      </c>
      <c r="G66">
        <v>0</v>
      </c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 t="s">
        <v>111</v>
      </c>
      <c r="C67" t="s">
        <v>93</v>
      </c>
      <c r="D67" t="s">
        <v>127</v>
      </c>
      <c r="E67" s="1" t="s">
        <v>128</v>
      </c>
      <c r="F67">
        <v>0</v>
      </c>
      <c r="G67">
        <v>0</v>
      </c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111</v>
      </c>
      <c r="C68" t="s">
        <v>65</v>
      </c>
      <c r="D68" t="s">
        <v>127</v>
      </c>
      <c r="E68" s="1" t="s">
        <v>128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111</v>
      </c>
      <c r="C69" t="s">
        <v>126</v>
      </c>
      <c r="D69" t="s">
        <v>127</v>
      </c>
      <c r="E69" s="1" t="s">
        <v>128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111</v>
      </c>
      <c r="C70" t="s">
        <v>102</v>
      </c>
      <c r="D70" t="s">
        <v>127</v>
      </c>
      <c r="E70" s="1" t="s">
        <v>128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111</v>
      </c>
      <c r="C71" t="s">
        <v>105</v>
      </c>
      <c r="D71" t="s">
        <v>127</v>
      </c>
      <c r="E71" s="1" t="s">
        <v>128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111</v>
      </c>
      <c r="C72" t="s">
        <v>66</v>
      </c>
      <c r="D72" t="s">
        <v>127</v>
      </c>
      <c r="E72" s="1" t="s">
        <v>128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111</v>
      </c>
      <c r="C73" t="s">
        <v>103</v>
      </c>
      <c r="D73" t="s">
        <v>127</v>
      </c>
      <c r="E73" s="1" t="s">
        <v>128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AI74"/>
      <c r="AJ74"/>
      <c r="AK74" s="39"/>
      <c r="AL74" s="39"/>
      <c r="AQ74"/>
      <c r="AR74"/>
      <c r="AS74" s="39"/>
      <c r="AT74" s="39"/>
    </row>
    <row r="75" spans="1:48" x14ac:dyDescent="0.25"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V78" s="47"/>
      <c r="W78" s="47"/>
      <c r="X78" s="47"/>
      <c r="Y78" s="47"/>
      <c r="Z78" s="47"/>
      <c r="AA78" s="47"/>
      <c r="AB78" s="47"/>
      <c r="AC78" s="47"/>
      <c r="AD78" s="47"/>
      <c r="AI78"/>
      <c r="AJ78"/>
      <c r="AK78" s="39"/>
      <c r="AL78" s="39"/>
      <c r="AQ78"/>
      <c r="AR78"/>
      <c r="AS78" s="39"/>
      <c r="AT78" s="39"/>
    </row>
    <row r="79" spans="1:48" x14ac:dyDescent="0.25">
      <c r="B79"/>
      <c r="C79"/>
      <c r="E79" s="74"/>
      <c r="F79" s="74"/>
      <c r="G79" s="1"/>
      <c r="H79"/>
      <c r="I79" s="74"/>
      <c r="J79"/>
      <c r="K79"/>
      <c r="L79" s="74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I79"/>
      <c r="AJ79"/>
      <c r="AK79" s="39"/>
      <c r="AL79" s="39"/>
      <c r="AQ79"/>
      <c r="AR79"/>
      <c r="AS79" s="39"/>
      <c r="AT79" s="39"/>
    </row>
    <row r="80" spans="1:48" s="47" customFormat="1" x14ac:dyDescent="0.25">
      <c r="A80" s="46"/>
      <c r="B80" s="82"/>
      <c r="C80" s="82"/>
      <c r="D80" s="82"/>
      <c r="E80" s="82"/>
      <c r="F80" s="82"/>
      <c r="G80" s="82"/>
      <c r="H80" s="83"/>
      <c r="I80" s="82"/>
      <c r="J80" s="82"/>
      <c r="K80" s="82"/>
      <c r="L80" s="82"/>
      <c r="M80" s="46"/>
      <c r="N80" s="46"/>
      <c r="O80" s="46"/>
      <c r="P80" s="46"/>
      <c r="Q80" s="46"/>
      <c r="R80" s="46"/>
      <c r="S80" s="46"/>
      <c r="AI80"/>
      <c r="AJ80" s="83"/>
      <c r="AK80" s="39"/>
      <c r="AL80" s="42"/>
      <c r="AM80" s="46"/>
      <c r="AN80" s="46"/>
      <c r="AQ80"/>
      <c r="AR80" s="83"/>
      <c r="AS80" s="39"/>
      <c r="AT80" s="42"/>
      <c r="AU80" s="46"/>
      <c r="AV80" s="46"/>
    </row>
    <row r="81" spans="1:37" s="47" customFormat="1" x14ac:dyDescent="0.25">
      <c r="A81" s="74"/>
      <c r="B81" s="84"/>
      <c r="C81" s="85"/>
      <c r="D81" s="84"/>
      <c r="E81" s="84"/>
      <c r="F81" s="84"/>
      <c r="G81" s="84"/>
      <c r="H81" s="83"/>
      <c r="I81" s="84"/>
      <c r="J81" s="84"/>
      <c r="K81" s="85"/>
      <c r="L81" s="85"/>
      <c r="M81" s="74"/>
      <c r="N81" s="74"/>
      <c r="O81" s="1"/>
      <c r="P81" s="46"/>
      <c r="Q81" s="46"/>
      <c r="R81" s="46"/>
      <c r="S81" s="46"/>
      <c r="V81" s="46"/>
      <c r="W81" s="46"/>
      <c r="X81" s="46"/>
      <c r="Y81" s="46"/>
      <c r="Z81" s="46"/>
      <c r="AA81" s="46"/>
      <c r="AB81" s="46"/>
      <c r="AC81" s="46"/>
      <c r="AD81" s="46"/>
      <c r="AI81" s="43"/>
      <c r="AJ81" s="43"/>
      <c r="AK81" s="55"/>
    </row>
    <row r="82" spans="1:37" s="47" customFormat="1" x14ac:dyDescent="0.25">
      <c r="A82" s="82"/>
      <c r="B82" s="84"/>
      <c r="C82" s="84"/>
      <c r="D82" s="84"/>
      <c r="E82" s="84"/>
      <c r="F82" s="84"/>
      <c r="G82" s="84"/>
      <c r="H82" s="83"/>
      <c r="I82" s="84"/>
      <c r="J82" s="84"/>
      <c r="K82" s="84"/>
      <c r="L82" s="84"/>
      <c r="M82" s="82"/>
      <c r="N82" s="82"/>
      <c r="O82" s="82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I82" s="43"/>
      <c r="AJ82" s="43"/>
      <c r="AK82" s="55"/>
    </row>
    <row r="83" spans="1:37" x14ac:dyDescent="0.25">
      <c r="A83" s="84"/>
      <c r="B83"/>
      <c r="C83" s="39"/>
      <c r="D83" s="39"/>
      <c r="H83"/>
      <c r="I83"/>
      <c r="J83"/>
      <c r="K83" s="39"/>
      <c r="L83" s="39"/>
      <c r="M83" s="85"/>
      <c r="N83" s="85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 s="84"/>
      <c r="B84"/>
      <c r="C84" s="39"/>
      <c r="D84" s="39"/>
      <c r="H84" s="81"/>
      <c r="I84"/>
      <c r="J84"/>
      <c r="K84" s="39"/>
      <c r="L84" s="39"/>
      <c r="M84" s="84"/>
      <c r="N84" s="84"/>
      <c r="O84" s="84"/>
      <c r="P84" s="47"/>
      <c r="Q84" s="47"/>
      <c r="R84" s="47"/>
      <c r="S84" s="47"/>
      <c r="AI84" s="38"/>
      <c r="AJ84" s="38"/>
      <c r="AK84" s="51"/>
    </row>
    <row r="85" spans="1:37" x14ac:dyDescent="0.25">
      <c r="A85"/>
      <c r="B85"/>
      <c r="C85" s="39"/>
      <c r="D85" s="39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I86"/>
      <c r="J86"/>
      <c r="K86" s="39"/>
      <c r="L86" s="39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O101" s="47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AI131" s="38"/>
      <c r="AJ131" s="38"/>
      <c r="AK131" s="51"/>
    </row>
    <row r="132" spans="1:37" x14ac:dyDescent="0.25">
      <c r="A132"/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  <row r="156" spans="35:37" x14ac:dyDescent="0.25">
      <c r="AI156" s="38"/>
      <c r="AJ156" s="38"/>
      <c r="AK156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2026-02-24T06:34:10Z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