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2F3ED84-B139-4629-8EF7-E9F8E3AFE5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7" l="1"/>
  <c r="G34" i="7"/>
  <c r="H34" i="7"/>
  <c r="I34" i="7"/>
  <c r="J34" i="7"/>
  <c r="K34" i="7"/>
  <c r="L34" i="7"/>
  <c r="E34" i="7"/>
  <c r="F33" i="7"/>
  <c r="G33" i="7"/>
  <c r="H33" i="7"/>
  <c r="I33" i="7"/>
  <c r="J33" i="7"/>
  <c r="K33" i="7"/>
  <c r="L33" i="7"/>
  <c r="E33" i="7"/>
  <c r="C31" i="7"/>
  <c r="C29" i="7"/>
  <c r="C28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<sst xmlns="http://schemas.openxmlformats.org/spreadsheetml/2006/main" count="338" uniqueCount="158">
  <si>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</si>
  <si>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</si>
  <si>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</si>
  <si>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</si>
  <si>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</si>
  <si>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</si>
  <si>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</si>
  <si>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</si>
  <si>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</si>
  <si>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</si>
  <si>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</si>
  <si>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</si>
  <si>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</si>
  <si>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</si>
  <si>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</si>
  <si>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</si>
  <si>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</si>
  <si>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</si>
  <si>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</si>
  <si>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</si>
  <si>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</si>
  <si>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</si>
  <si>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</si>
  <si>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</si>
  <si>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</si>
  <si>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</si>
  <si>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</si>
  <si>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</si>
  <si>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</si>
  <si>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</si>
  <si>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</si>
  <si>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</si>
  <si>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</si>
  <si>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</si>
  <si>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</si>
  <si>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</si>
  <si>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</si>
  <si>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</si>
  <si>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</si>
  <si>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</si>
  <si>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</si>
  <si>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</si>
  <si>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</si>
  <si>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</si>
  <si>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</si>
  <si>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</si>
  <si>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</si>
  <si>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</si>
  <si>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</si>
  <si>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</si>
  <si>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</si>
  <si>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</si>
  <si>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</si>
  <si>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</si>
  <si>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</si>
  <si>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</si>
  <si>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</si>
  <si>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</si>
  <si>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</si>
  <si>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</si>
  <si>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</si>
  <si>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</si>
  <si>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</si>
  <si>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</si>
  <si>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</si>
  <si>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</si>
  <si>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</si>
  <si>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</si>
  <si>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</si>
  <si>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</si>
  <si>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</si>
  <si>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</si>
  <si>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</si>
  <si>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</si>
  <si>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</si>
  <si>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</si>
  <si>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</si>
  <si>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</si>
  <si>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</si>
  <si>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</si>
  <si>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</si>
  <si>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</si>
  <si>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</si>
  <si>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</si>
  <si>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</si>
  <si>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</si>
  <si>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</si>
  <si>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</si>
  <si>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</si>
  <si>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</si>
  <si>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</si>
  <si>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</si>
  <si>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</si>
  <si>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</si>
  <si>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</si>
  <si>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</si>
  <si>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</si>
  <si>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</si>
  <si>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</si>
  <si>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</si>
  <si>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</si>
  <si>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</si>
  <si>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</si>
  <si>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</si>
  <si>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</si>
  <si>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</si>
  <si>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</si>
  <si>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</si>
  <si>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</si>
  <si>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</si>
  <si>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</si>
  <si>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</si>
  <si>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</si>
  <si>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</si>
  <si>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</si>
  <si>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</si>
  <si>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</si>
  <si>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</si>
  <si>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</si>
  <si>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</si>
  <si>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</si>
  <si>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</si>
  <si>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</si>
  <si>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</si>
  <si>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</si>
  <si>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</si>
  <si>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</si>
  <si>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</si>
  <si>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</si>
  <si>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</si>
  <si>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</si>
  <si>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</si>
  <si>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</si>
  <si>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</si>
  <si>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</si>
  <si>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</si>
  <si>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</si>
  <si>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</si>
  <si>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</si>
  <si>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</si>
  <si>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</si>
  <si>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</si>
  <si>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</si>
  <si>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</si>
  <si>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</si>
  <si>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</si>
  <si>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</si>
  <si>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</si>
  <si>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</si>
  <si>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</si>
  <si>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</si>
  <si>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</si>
  <si>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</si>
  <si>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</si>
  <si>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</si>
  <si>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Electricity aggrigator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</si>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</sst>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13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0" fontId="25" fillId="0" borderId="0" xfId="4" applyFont="1"/>
    <xf numFmtId="0" fontId="25" fillId="8" borderId="0" xfId="4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26" fillId="0" borderId="0" xfId="4" applyNumberFormat="1" applyFont="1"/>
    <xf numFmtId="0" fontId="26" fillId="8" borderId="0" xfId="4" applyFont="1" applyFill="1"/>
    <xf numFmtId="0" fontId="26" fillId="0" borderId="0" xfId="4" applyFont="1"/>
    <xf numFmtId="0" fontId="26" fillId="0" borderId="0" xfId="0" applyFont="1"/>
    <xf numFmtId="0" fontId="28" fillId="8" borderId="0" xfId="4" applyFont="1" applyFill="1"/>
    <xf numFmtId="0" fontId="28" fillId="0" borderId="0" xfId="4" applyFont="1"/>
    <xf numFmtId="165" fontId="28" fillId="0" borderId="0" xfId="4" applyNumberFormat="1" applyFont="1"/>
    <xf numFmtId="165" fontId="28" fillId="8" borderId="0" xfId="4" applyNumberFormat="1" applyFont="1" applyFill="1"/>
    <xf numFmtId="0" fontId="29" fillId="8" borderId="0" xfId="0" applyFont="1" applyFill="1"/>
    <xf numFmtId="0" fontId="28" fillId="0" borderId="0" xfId="0" applyFont="1"/>
    <xf numFmtId="165" fontId="28" fillId="0" borderId="0" xfId="0" applyNumberFormat="1" applyFont="1"/>
    <xf numFmtId="165" fontId="26" fillId="0" borderId="0" xfId="0" applyNumberFormat="1" applyFont="1"/>
    <xf numFmtId="165" fontId="26" fillId="0" borderId="0" xfId="0" applyNumberFormat="1" applyFont="1" applyAlignment="1">
      <alignment wrapText="1"/>
    </xf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0" fontId="21" fillId="12" borderId="0" xfId="4" applyFont="1" applyFill="1"/>
    <xf numFmtId="0" fontId="27" fillId="12" borderId="0" xfId="0" applyFont="1" applyFill="1"/>
    <xf numFmtId="1" fontId="26" fillId="8" borderId="0" xfId="4" applyNumberFormat="1" applyFont="1" applyFill="1"/>
    <xf numFmtId="2" fontId="26" fillId="8" borderId="0" xfId="4" applyNumberFormat="1" applyFont="1" applyFill="1"/>
    <xf numFmtId="166" fontId="26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9" fontId="28" fillId="8" borderId="0" xfId="21" applyFont="1" applyFill="1"/>
    <xf numFmtId="9" fontId="26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A10" zoomScale="142" zoomScaleNormal="142" workbookViewId="0">
      <selection activeCell="S17" sqref="S17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39"/>
      <c r="T5" s="39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39"/>
      <c r="T6" s="39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39" t="s">
        <v>59</v>
      </c>
      <c r="O7" s="39"/>
      <c r="P7" s="39" t="s">
        <v>72</v>
      </c>
      <c r="Q7" s="39" t="s">
        <v>118</v>
      </c>
      <c r="R7" s="39" t="s">
        <v>58</v>
      </c>
      <c r="S7" s="39"/>
      <c r="T7" s="39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9" t="s">
        <v>59</v>
      </c>
      <c r="O8" s="39"/>
      <c r="P8" s="39" t="s">
        <v>119</v>
      </c>
      <c r="Q8" s="39" t="s">
        <v>120</v>
      </c>
      <c r="R8" s="39" t="s">
        <v>58</v>
      </c>
      <c r="S8" s="39"/>
      <c r="T8" s="39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39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39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O19" s="38"/>
      <c r="P19" s="38" t="s">
        <v>121</v>
      </c>
      <c r="Q19" s="38" t="s">
        <v>124</v>
      </c>
      <c r="R19" s="38" t="s">
        <v>58</v>
      </c>
      <c r="S19" s="38"/>
      <c r="T19" s="39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38"/>
      <c r="P20" s="38" t="s">
        <v>122</v>
      </c>
      <c r="Q20" s="38" t="s">
        <v>123</v>
      </c>
      <c r="R20" s="38" t="s">
        <v>58</v>
      </c>
      <c r="S20" s="38"/>
      <c r="T20" s="39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opLeftCell="A49" zoomScale="118" zoomScaleNormal="118" workbookViewId="0">
      <selection activeCell="B58" sqref="B58:L60"/>
    </sheetView>
  </sheetViews>
  <sheetFormatPr defaultColWidth="8.77734375" defaultRowHeight="13.2" x14ac:dyDescent="0.25"/>
  <cols>
    <col min="1" max="1" width="3" style="45" customWidth="1"/>
    <col min="2" max="2" width="15.1093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45" t="s">
        <v>69</v>
      </c>
      <c r="X5" s="45" t="s">
        <v>130</v>
      </c>
      <c r="Y5" s="45" t="s">
        <v>131</v>
      </c>
      <c r="Z5" s="45" t="s">
        <v>58</v>
      </c>
      <c r="AB5" s="45" t="s">
        <v>88</v>
      </c>
    </row>
    <row r="6" spans="2:51" ht="15.6" x14ac:dyDescent="0.3">
      <c r="B6" s="53"/>
      <c r="C6" s="53"/>
      <c r="D6" s="53"/>
      <c r="E6" s="53"/>
      <c r="F6" s="53"/>
      <c r="G6" s="53"/>
      <c r="V6" s="45" t="s">
        <v>69</v>
      </c>
      <c r="X6" s="45" t="s">
        <v>129</v>
      </c>
      <c r="Y6" s="45" t="s">
        <v>132</v>
      </c>
      <c r="Z6" s="45" t="s">
        <v>58</v>
      </c>
      <c r="AB6" s="45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45" t="s">
        <v>58</v>
      </c>
      <c r="AB7" s="45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45" t="s">
        <v>58</v>
      </c>
      <c r="AA8" s="50"/>
      <c r="AB8" s="45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45" t="s">
        <v>58</v>
      </c>
      <c r="AB9" s="45" t="s">
        <v>88</v>
      </c>
      <c r="AC9" s="50"/>
      <c r="AD9" s="50"/>
    </row>
    <row r="10" spans="2:51" x14ac:dyDescent="0.25">
      <c r="Z10" s="71"/>
      <c r="AB10" s="71"/>
    </row>
    <row r="11" spans="2:51" x14ac:dyDescent="0.25">
      <c r="Z11" s="71"/>
      <c r="AB11" s="71"/>
    </row>
    <row r="13" spans="2:51" x14ac:dyDescent="0.25">
      <c r="Z13" s="71"/>
      <c r="AB13" s="71"/>
    </row>
    <row r="14" spans="2:51" x14ac:dyDescent="0.25">
      <c r="AB14" s="71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69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0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77" customFormat="1" x14ac:dyDescent="0.25">
      <c r="B19" s="45" t="str">
        <f>X19</f>
        <v>Furnace</v>
      </c>
      <c r="C19" s="50" t="str">
        <f>X8</f>
        <v>DECELC</v>
      </c>
      <c r="D19" s="50" t="s">
        <v>107</v>
      </c>
      <c r="E19" s="95">
        <v>2030</v>
      </c>
      <c r="F19" s="96">
        <v>1</v>
      </c>
      <c r="G19" s="96">
        <v>1</v>
      </c>
      <c r="H19" s="95">
        <v>25</v>
      </c>
      <c r="I19" s="96">
        <v>81</v>
      </c>
      <c r="J19" s="96">
        <v>0</v>
      </c>
      <c r="K19" s="96">
        <v>0.24</v>
      </c>
      <c r="L19" s="96">
        <v>8.76</v>
      </c>
      <c r="M19" s="95"/>
      <c r="N19" s="96"/>
      <c r="O19" s="96"/>
      <c r="P19" s="96"/>
      <c r="Q19" s="96"/>
      <c r="R19" s="96"/>
      <c r="S19" s="95"/>
      <c r="T19" s="78"/>
      <c r="U19" s="78"/>
      <c r="V19" s="60" t="s">
        <v>127</v>
      </c>
      <c r="W19" s="60"/>
      <c r="X19" s="61" t="s">
        <v>66</v>
      </c>
      <c r="Y19" s="62" t="s">
        <v>139</v>
      </c>
      <c r="Z19" s="45" t="s">
        <v>58</v>
      </c>
      <c r="AA19" s="45" t="s">
        <v>87</v>
      </c>
      <c r="AB19" s="63" t="s">
        <v>88</v>
      </c>
      <c r="AC19" s="78"/>
      <c r="AD19" s="78"/>
      <c r="AI19" s="79"/>
      <c r="AJ19" s="80"/>
      <c r="AY19" s="78"/>
    </row>
    <row r="20" spans="2:51" s="71" customFormat="1" x14ac:dyDescent="0.25">
      <c r="B20" s="45" t="str">
        <f>X$20</f>
        <v>BIOBoiler</v>
      </c>
      <c r="C20" s="45" t="str">
        <f>PRI_Sector_Fuels!P5</f>
        <v>MANBIOMIN</v>
      </c>
      <c r="D20" s="50" t="str">
        <f>X9</f>
        <v>DECRHEAT</v>
      </c>
      <c r="E20" s="95">
        <v>2030</v>
      </c>
      <c r="F20" s="96">
        <v>0.7</v>
      </c>
      <c r="G20" s="96">
        <v>0.98</v>
      </c>
      <c r="H20" s="95">
        <v>25</v>
      </c>
      <c r="I20" s="96">
        <v>797.9</v>
      </c>
      <c r="J20" s="96">
        <v>48.48</v>
      </c>
      <c r="K20" s="96">
        <v>3.75</v>
      </c>
      <c r="L20" s="96">
        <v>8.76</v>
      </c>
      <c r="M20" s="95"/>
      <c r="N20" s="97"/>
      <c r="O20" s="95"/>
      <c r="P20" s="95"/>
      <c r="Q20" s="95"/>
      <c r="R20" s="95"/>
      <c r="S20" s="95"/>
      <c r="T20" s="81"/>
      <c r="U20" s="81"/>
      <c r="V20" s="60" t="s">
        <v>138</v>
      </c>
      <c r="W20" s="60"/>
      <c r="X20" s="61" t="s">
        <v>94</v>
      </c>
      <c r="Y20" s="62" t="s">
        <v>140</v>
      </c>
      <c r="Z20" s="45" t="s">
        <v>58</v>
      </c>
      <c r="AA20" s="45" t="s">
        <v>87</v>
      </c>
      <c r="AB20" s="63" t="s">
        <v>88</v>
      </c>
      <c r="AC20" s="81"/>
      <c r="AD20" s="81"/>
      <c r="AI20" s="14"/>
      <c r="AJ20" s="12"/>
      <c r="AY20" s="81"/>
    </row>
    <row r="21" spans="2:51" s="77" customFormat="1" x14ac:dyDescent="0.25">
      <c r="B21" s="45" t="str">
        <f>X23</f>
        <v>ELCBoiler</v>
      </c>
      <c r="C21" s="50" t="s">
        <v>128</v>
      </c>
      <c r="D21" s="50" t="s">
        <v>107</v>
      </c>
      <c r="E21" s="95">
        <v>2030</v>
      </c>
      <c r="F21" s="96">
        <v>0.99</v>
      </c>
      <c r="G21" s="96">
        <v>1</v>
      </c>
      <c r="H21" s="95">
        <v>25</v>
      </c>
      <c r="I21" s="96">
        <v>112.9</v>
      </c>
      <c r="J21" s="96">
        <v>14.26</v>
      </c>
      <c r="K21" s="96">
        <v>1.22</v>
      </c>
      <c r="L21" s="96">
        <v>8.76</v>
      </c>
      <c r="M21" s="95"/>
      <c r="N21" s="98"/>
      <c r="O21" s="98"/>
      <c r="P21" s="98"/>
      <c r="Q21" s="98"/>
      <c r="R21" s="98"/>
      <c r="S21" s="95"/>
      <c r="T21" s="78"/>
      <c r="U21" s="78"/>
      <c r="V21" s="60" t="s">
        <v>127</v>
      </c>
      <c r="W21" s="60"/>
      <c r="X21" s="61" t="s">
        <v>95</v>
      </c>
      <c r="Y21" s="62" t="s">
        <v>141</v>
      </c>
      <c r="Z21" s="45" t="s">
        <v>58</v>
      </c>
      <c r="AA21" s="45" t="s">
        <v>87</v>
      </c>
      <c r="AB21" s="63" t="s">
        <v>88</v>
      </c>
      <c r="AC21" s="78"/>
      <c r="AD21" s="78"/>
      <c r="AI21" s="79"/>
      <c r="AJ21" s="80"/>
      <c r="AY21" s="78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95">
        <v>2030</v>
      </c>
      <c r="F22" s="96">
        <v>0.55600000000000005</v>
      </c>
      <c r="G22" s="96">
        <v>0.98</v>
      </c>
      <c r="H22" s="95">
        <v>25</v>
      </c>
      <c r="I22" s="96">
        <v>297.10000000000002</v>
      </c>
      <c r="J22" s="96">
        <v>4.46</v>
      </c>
      <c r="K22" s="96">
        <v>0.45</v>
      </c>
      <c r="L22" s="96">
        <v>8.76</v>
      </c>
      <c r="M22" s="95"/>
      <c r="N22" s="96"/>
      <c r="O22" s="96"/>
      <c r="P22" s="96"/>
      <c r="Q22" s="96"/>
      <c r="R22" s="96"/>
      <c r="S22" s="9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95">
        <v>2030</v>
      </c>
      <c r="F23" s="96">
        <v>0.75</v>
      </c>
      <c r="G23" s="96">
        <v>0.99</v>
      </c>
      <c r="H23" s="95">
        <v>25</v>
      </c>
      <c r="I23" s="96">
        <v>61.4</v>
      </c>
      <c r="J23" s="96">
        <v>2.57</v>
      </c>
      <c r="K23" s="96">
        <v>1.35</v>
      </c>
      <c r="L23" s="96">
        <v>8.76</v>
      </c>
      <c r="M23" s="95"/>
      <c r="N23" s="97"/>
      <c r="O23" s="95"/>
      <c r="P23" s="95"/>
      <c r="Q23" s="95"/>
      <c r="R23" s="95"/>
      <c r="S23" s="9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95">
        <v>2030</v>
      </c>
      <c r="F24" s="96">
        <v>1</v>
      </c>
      <c r="G24" s="96">
        <v>0.97</v>
      </c>
      <c r="H24" s="95">
        <v>25</v>
      </c>
      <c r="I24" s="96">
        <v>1041</v>
      </c>
      <c r="J24" s="96">
        <v>38</v>
      </c>
      <c r="K24" s="96">
        <v>0</v>
      </c>
      <c r="L24" s="96">
        <v>8.76</v>
      </c>
      <c r="M24" s="97"/>
      <c r="N24" s="97"/>
      <c r="O24" s="96"/>
      <c r="P24" s="96"/>
      <c r="Q24" s="96"/>
      <c r="R24" s="97"/>
      <c r="S24" s="96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95">
        <v>2030</v>
      </c>
      <c r="F25" s="96">
        <v>0.20499999999999999</v>
      </c>
      <c r="G25" s="96">
        <v>0.99</v>
      </c>
      <c r="H25" s="95">
        <v>25</v>
      </c>
      <c r="I25" s="96">
        <v>691</v>
      </c>
      <c r="J25" s="96">
        <v>6.99</v>
      </c>
      <c r="K25" s="96">
        <v>0</v>
      </c>
      <c r="L25" s="96">
        <v>8.76</v>
      </c>
      <c r="M25" s="97"/>
      <c r="N25" s="97"/>
      <c r="O25" s="96"/>
      <c r="P25" s="96"/>
      <c r="Q25" s="96"/>
      <c r="R25" s="97"/>
      <c r="S25" s="96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1" customFormat="1" x14ac:dyDescent="0.25">
      <c r="B26" s="50" t="str">
        <f>X24</f>
        <v>CSP</v>
      </c>
      <c r="C26" s="45" t="str">
        <f>PRI_Sector_Fuels!D20</f>
        <v>SOLAR</v>
      </c>
      <c r="D26" s="50" t="str">
        <f>X9</f>
        <v>DECRHEAT</v>
      </c>
      <c r="E26" s="95">
        <v>2030</v>
      </c>
      <c r="F26" s="96">
        <v>0.4</v>
      </c>
      <c r="G26" s="96">
        <v>1</v>
      </c>
      <c r="H26" s="95">
        <v>25</v>
      </c>
      <c r="I26" s="96">
        <v>3677</v>
      </c>
      <c r="J26" s="96">
        <v>0</v>
      </c>
      <c r="K26" s="96">
        <v>14</v>
      </c>
      <c r="L26" s="96">
        <v>8.76</v>
      </c>
      <c r="M26" s="97"/>
      <c r="N26" s="97"/>
      <c r="O26" s="96"/>
      <c r="P26" s="96"/>
      <c r="Q26" s="96"/>
      <c r="R26" s="97"/>
      <c r="S26" s="95"/>
      <c r="V26" s="60" t="s">
        <v>69</v>
      </c>
      <c r="W26" s="60"/>
      <c r="X26" s="61" t="s">
        <v>90</v>
      </c>
      <c r="Y26" s="62" t="s">
        <v>146</v>
      </c>
      <c r="Z26" s="45" t="s">
        <v>58</v>
      </c>
      <c r="AA26" s="45" t="s">
        <v>87</v>
      </c>
      <c r="AB26" s="46" t="s">
        <v>88</v>
      </c>
      <c r="AI26" s="14"/>
      <c r="AJ26" s="14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95">
        <v>2030</v>
      </c>
      <c r="F27" s="96">
        <v>0.3</v>
      </c>
      <c r="G27" s="96">
        <v>1</v>
      </c>
      <c r="H27" s="95">
        <v>25</v>
      </c>
      <c r="I27" s="96">
        <v>0</v>
      </c>
      <c r="J27" s="96">
        <v>0</v>
      </c>
      <c r="K27" s="96">
        <v>0</v>
      </c>
      <c r="L27" s="96">
        <v>8.76</v>
      </c>
      <c r="M27" s="97">
        <v>0.202158</v>
      </c>
      <c r="N27" s="97"/>
      <c r="O27" s="96"/>
      <c r="P27" s="96"/>
      <c r="Q27" s="96"/>
      <c r="R27" s="97"/>
      <c r="S27" s="9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83" customFormat="1" x14ac:dyDescent="0.25">
      <c r="B28" s="50" t="str">
        <f>X27</f>
        <v>DECPOWER</v>
      </c>
      <c r="C28" s="50" t="str">
        <f>X6</f>
        <v>WNDELC</v>
      </c>
      <c r="D28" s="50" t="str">
        <f>X8</f>
        <v>DECELC</v>
      </c>
      <c r="E28" s="95">
        <v>2030</v>
      </c>
      <c r="F28" s="98">
        <v>1</v>
      </c>
      <c r="G28" s="98">
        <v>1</v>
      </c>
      <c r="H28" s="95">
        <v>100</v>
      </c>
      <c r="I28" s="96">
        <v>0</v>
      </c>
      <c r="J28" s="98">
        <v>0</v>
      </c>
      <c r="K28" s="98">
        <v>0</v>
      </c>
      <c r="L28" s="96">
        <v>8.76</v>
      </c>
      <c r="M28" s="97"/>
      <c r="N28" s="97"/>
      <c r="O28" s="96"/>
      <c r="P28" s="96"/>
      <c r="Q28" s="96"/>
      <c r="R28" s="97"/>
      <c r="S28" s="95"/>
      <c r="V28" s="60" t="s">
        <v>69</v>
      </c>
      <c r="W28" s="60"/>
      <c r="X28" s="61" t="s">
        <v>136</v>
      </c>
      <c r="Y28" s="62" t="s">
        <v>148</v>
      </c>
      <c r="Z28" s="45" t="s">
        <v>58</v>
      </c>
      <c r="AA28" s="45" t="s">
        <v>87</v>
      </c>
      <c r="AB28" s="46" t="s">
        <v>88</v>
      </c>
      <c r="AI28" s="85"/>
      <c r="AJ28" s="85"/>
      <c r="AK28" s="84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84"/>
      <c r="AW28" s="84"/>
    </row>
    <row r="29" spans="2:51" s="83" customFormat="1" x14ac:dyDescent="0.25">
      <c r="B29" s="50" t="str">
        <f>X27</f>
        <v>DECPOWER</v>
      </c>
      <c r="C29" s="50" t="str">
        <f>X5</f>
        <v>SOLELC</v>
      </c>
      <c r="D29" s="50" t="str">
        <f>X8</f>
        <v>DECELC</v>
      </c>
      <c r="E29" s="95">
        <v>2030</v>
      </c>
      <c r="F29" s="98">
        <v>1</v>
      </c>
      <c r="G29" s="98">
        <v>1</v>
      </c>
      <c r="H29" s="95">
        <v>100</v>
      </c>
      <c r="I29" s="96">
        <v>0</v>
      </c>
      <c r="J29" s="98">
        <v>0</v>
      </c>
      <c r="K29" s="98">
        <v>0</v>
      </c>
      <c r="L29" s="96">
        <v>8.76</v>
      </c>
      <c r="M29" s="97"/>
      <c r="N29" s="97"/>
      <c r="O29" s="96"/>
      <c r="P29" s="96"/>
      <c r="Q29" s="96"/>
      <c r="R29" s="97"/>
      <c r="S29" s="95"/>
      <c r="V29" s="46" t="s">
        <v>127</v>
      </c>
      <c r="W29" s="46"/>
      <c r="X29" s="46" t="s">
        <v>154</v>
      </c>
      <c r="Y29" s="46" t="s">
        <v>153</v>
      </c>
      <c r="Z29" s="45" t="s">
        <v>58</v>
      </c>
      <c r="AA29" s="45" t="s">
        <v>87</v>
      </c>
      <c r="AB29" s="46" t="s">
        <v>88</v>
      </c>
      <c r="AC29" s="46"/>
      <c r="AI29" s="85"/>
      <c r="AJ29" s="85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95">
        <v>2030</v>
      </c>
      <c r="F30" s="98">
        <v>0.35</v>
      </c>
      <c r="G30" s="98">
        <v>0.98</v>
      </c>
      <c r="H30" s="95">
        <v>20</v>
      </c>
      <c r="I30" s="99">
        <v>3242</v>
      </c>
      <c r="J30" s="96">
        <v>129.68</v>
      </c>
      <c r="K30" s="96">
        <v>0</v>
      </c>
      <c r="L30" s="96">
        <v>8.76</v>
      </c>
      <c r="M30" s="97"/>
      <c r="N30" s="97"/>
      <c r="O30" s="96"/>
      <c r="P30" s="96"/>
      <c r="Q30" s="96"/>
      <c r="R30" s="97"/>
      <c r="S30" s="95"/>
      <c r="V30" s="45" t="s">
        <v>127</v>
      </c>
      <c r="X30" s="46" t="s">
        <v>156</v>
      </c>
      <c r="Y30" s="46" t="s">
        <v>155</v>
      </c>
      <c r="Z30" s="45" t="s">
        <v>58</v>
      </c>
      <c r="AA30" s="45" t="s">
        <v>87</v>
      </c>
      <c r="AB30" s="46" t="s">
        <v>88</v>
      </c>
      <c r="AC30" s="83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83" customFormat="1" x14ac:dyDescent="0.25">
      <c r="B31" s="50" t="str">
        <f>X27</f>
        <v>DECPOWER</v>
      </c>
      <c r="C31" s="45" t="str">
        <f>X7</f>
        <v>BIOELC</v>
      </c>
      <c r="D31" s="50" t="str">
        <f>X8</f>
        <v>DECELC</v>
      </c>
      <c r="E31" s="95">
        <v>2030</v>
      </c>
      <c r="F31" s="96">
        <v>1</v>
      </c>
      <c r="G31" s="96">
        <v>1</v>
      </c>
      <c r="H31" s="98">
        <v>100</v>
      </c>
      <c r="I31" s="98">
        <v>0</v>
      </c>
      <c r="J31" s="98">
        <v>0</v>
      </c>
      <c r="K31" s="98">
        <v>0</v>
      </c>
      <c r="L31" s="98">
        <v>0</v>
      </c>
      <c r="M31" s="97"/>
      <c r="N31" s="97"/>
      <c r="O31" s="96"/>
      <c r="P31" s="96"/>
      <c r="Q31" s="96"/>
      <c r="R31" s="97"/>
      <c r="S31" s="95"/>
      <c r="AD31" s="46"/>
      <c r="AI31" s="85"/>
      <c r="AJ31" s="85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</row>
    <row r="32" spans="2:51" s="83" customFormat="1" x14ac:dyDescent="0.25">
      <c r="B32" s="50" t="str">
        <f>X29</f>
        <v>DECTHT</v>
      </c>
      <c r="C32" s="50" t="str">
        <f>X9</f>
        <v>DECRHEAT</v>
      </c>
      <c r="D32" s="50" t="s">
        <v>107</v>
      </c>
      <c r="E32" s="95">
        <v>2030</v>
      </c>
      <c r="F32" s="96">
        <v>1</v>
      </c>
      <c r="G32" s="96">
        <v>1</v>
      </c>
      <c r="H32" s="98">
        <v>100</v>
      </c>
      <c r="I32" s="98">
        <v>0</v>
      </c>
      <c r="J32" s="98">
        <v>0</v>
      </c>
      <c r="K32" s="98">
        <v>0</v>
      </c>
      <c r="L32" s="98">
        <v>0</v>
      </c>
      <c r="M32" s="97"/>
      <c r="N32" s="97"/>
      <c r="O32" s="96"/>
      <c r="P32" s="96"/>
      <c r="Q32" s="96"/>
      <c r="R32" s="97"/>
      <c r="S32" s="95"/>
      <c r="AD32" s="46"/>
      <c r="AI32" s="85"/>
      <c r="AJ32" s="85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</row>
    <row r="33" spans="1:49" s="83" customFormat="1" x14ac:dyDescent="0.25">
      <c r="B33" s="50" t="s">
        <v>66</v>
      </c>
      <c r="C33" s="45" t="s">
        <v>69</v>
      </c>
      <c r="D33" s="50" t="s">
        <v>107</v>
      </c>
      <c r="E33" s="95">
        <f>E19</f>
        <v>2030</v>
      </c>
      <c r="F33" s="95">
        <f t="shared" ref="F33:L33" si="0">F19</f>
        <v>1</v>
      </c>
      <c r="G33" s="95">
        <f t="shared" si="0"/>
        <v>1</v>
      </c>
      <c r="H33" s="95">
        <f t="shared" si="0"/>
        <v>25</v>
      </c>
      <c r="I33" s="95">
        <f t="shared" si="0"/>
        <v>81</v>
      </c>
      <c r="J33" s="95">
        <f t="shared" si="0"/>
        <v>0</v>
      </c>
      <c r="K33" s="95">
        <f t="shared" si="0"/>
        <v>0.24</v>
      </c>
      <c r="L33" s="95">
        <f t="shared" si="0"/>
        <v>8.76</v>
      </c>
      <c r="M33" s="95"/>
      <c r="N33" s="96"/>
      <c r="O33" s="96"/>
      <c r="P33" s="96"/>
      <c r="Q33" s="96"/>
      <c r="R33" s="96"/>
      <c r="S33" s="96"/>
      <c r="AD33" s="46"/>
      <c r="AI33" s="85"/>
      <c r="AJ33" s="85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</row>
    <row r="34" spans="1:49" s="83" customFormat="1" x14ac:dyDescent="0.25">
      <c r="B34" s="50" t="s">
        <v>97</v>
      </c>
      <c r="C34" s="45" t="s">
        <v>69</v>
      </c>
      <c r="D34" s="50" t="s">
        <v>107</v>
      </c>
      <c r="E34" s="95">
        <f>E21</f>
        <v>2030</v>
      </c>
      <c r="F34" s="95">
        <f t="shared" ref="F34:L34" si="1">F21</f>
        <v>0.99</v>
      </c>
      <c r="G34" s="95">
        <f t="shared" si="1"/>
        <v>1</v>
      </c>
      <c r="H34" s="95">
        <f t="shared" si="1"/>
        <v>25</v>
      </c>
      <c r="I34" s="95">
        <f t="shared" si="1"/>
        <v>112.9</v>
      </c>
      <c r="J34" s="95">
        <f t="shared" si="1"/>
        <v>14.26</v>
      </c>
      <c r="K34" s="95">
        <f t="shared" si="1"/>
        <v>1.22</v>
      </c>
      <c r="L34" s="95">
        <f t="shared" si="1"/>
        <v>8.76</v>
      </c>
      <c r="M34" s="95"/>
      <c r="N34" s="96"/>
      <c r="O34" s="96"/>
      <c r="P34" s="96"/>
      <c r="Q34" s="96"/>
      <c r="R34" s="96"/>
      <c r="S34" s="96"/>
      <c r="AA34" s="38"/>
      <c r="AB34" s="38"/>
      <c r="AD34" s="84"/>
      <c r="AI34" s="85"/>
      <c r="AJ34" s="85"/>
      <c r="AK34" s="84"/>
      <c r="AL34" s="84"/>
      <c r="AM34" s="84"/>
      <c r="AN34" s="84"/>
      <c r="AO34" s="84"/>
      <c r="AP34" s="84"/>
      <c r="AQ34" s="84"/>
      <c r="AR34" s="84"/>
      <c r="AS34" s="84"/>
      <c r="AT34" s="84"/>
      <c r="AU34" s="84"/>
      <c r="AV34" s="84"/>
      <c r="AW34" s="84"/>
    </row>
    <row r="35" spans="1:49" s="83" customFormat="1" x14ac:dyDescent="0.25">
      <c r="B35" s="45" t="str">
        <f>X30</f>
        <v>MANELC_TECH</v>
      </c>
      <c r="C35" s="50" t="str">
        <f>X8</f>
        <v>DECELC</v>
      </c>
      <c r="D35" s="50" t="s">
        <v>157</v>
      </c>
      <c r="E35" s="103">
        <v>2022</v>
      </c>
      <c r="F35" s="96">
        <v>1</v>
      </c>
      <c r="G35" s="96">
        <v>1</v>
      </c>
      <c r="H35" s="98">
        <v>100</v>
      </c>
      <c r="I35" s="98">
        <v>0</v>
      </c>
      <c r="J35" s="98">
        <v>0</v>
      </c>
      <c r="K35" s="98">
        <v>0</v>
      </c>
      <c r="L35" s="98">
        <v>0</v>
      </c>
      <c r="M35" s="97"/>
      <c r="N35" s="97"/>
      <c r="O35" s="96"/>
      <c r="P35" s="96"/>
      <c r="Q35" s="96"/>
      <c r="R35" s="97"/>
      <c r="S35" s="95"/>
      <c r="V35" s="45"/>
      <c r="W35" s="45"/>
      <c r="X35" s="45"/>
      <c r="Y35" s="45"/>
      <c r="Z35" s="50"/>
      <c r="AA35" s="88"/>
      <c r="AB35" s="90"/>
      <c r="AC35" s="84"/>
      <c r="AD35" s="84"/>
      <c r="AI35" s="85"/>
      <c r="AJ35" s="85"/>
      <c r="AK35" s="84"/>
      <c r="AL35" s="84"/>
      <c r="AM35" s="84"/>
      <c r="AN35" s="84"/>
      <c r="AO35" s="84"/>
      <c r="AP35" s="84"/>
      <c r="AQ35" s="84"/>
      <c r="AR35" s="84"/>
      <c r="AS35" s="84"/>
      <c r="AT35" s="84"/>
      <c r="AU35" s="84"/>
      <c r="AV35" s="84"/>
      <c r="AW35" s="84"/>
    </row>
    <row r="36" spans="1:49" s="83" customFormat="1" x14ac:dyDescent="0.25">
      <c r="B36" s="82"/>
      <c r="C36" s="82"/>
      <c r="D36" s="82"/>
      <c r="E36" s="100"/>
      <c r="F36" s="101"/>
      <c r="G36" s="101"/>
      <c r="H36" s="100"/>
      <c r="I36" s="101"/>
      <c r="J36" s="101"/>
      <c r="K36" s="101"/>
      <c r="L36" s="101"/>
      <c r="M36" s="102"/>
      <c r="N36" s="102"/>
      <c r="O36" s="101"/>
      <c r="P36" s="101"/>
      <c r="Q36" s="101"/>
      <c r="R36" s="102"/>
      <c r="S36" s="100"/>
      <c r="V36" s="87"/>
      <c r="W36" s="86"/>
      <c r="X36" s="87"/>
      <c r="Y36" s="86"/>
      <c r="Z36" s="89"/>
      <c r="AA36" s="84"/>
      <c r="AC36" s="45"/>
      <c r="AD36" s="45"/>
      <c r="AI36" s="85"/>
      <c r="AJ36" s="85"/>
      <c r="AK36" s="93"/>
      <c r="AL36" s="93"/>
      <c r="AM36" s="84"/>
      <c r="AN36" s="84"/>
      <c r="AO36" s="84"/>
      <c r="AQ36" s="85"/>
      <c r="AR36" s="85"/>
      <c r="AS36" s="93"/>
      <c r="AT36" s="93"/>
      <c r="AU36" s="84"/>
      <c r="AV36" s="84"/>
    </row>
    <row r="37" spans="1:49" s="46" customFormat="1" x14ac:dyDescent="0.25">
      <c r="B37" s="5"/>
      <c r="C37" s="50"/>
      <c r="D37" s="50"/>
      <c r="E37" s="103"/>
      <c r="F37" s="104"/>
      <c r="G37" s="105"/>
      <c r="M37" s="103"/>
      <c r="N37" s="106"/>
      <c r="O37" s="103"/>
      <c r="P37" s="103"/>
      <c r="Q37" s="103"/>
      <c r="R37" s="103"/>
      <c r="S37" s="103"/>
      <c r="Z37" s="84"/>
      <c r="AA37" s="84"/>
      <c r="AB37" s="83"/>
      <c r="AC37" s="83"/>
      <c r="AD37" s="87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86" customFormat="1" x14ac:dyDescent="0.25">
      <c r="B38" s="87"/>
      <c r="C38" s="88"/>
      <c r="D38" s="88"/>
      <c r="E38" s="107"/>
      <c r="F38" s="108"/>
      <c r="G38" s="108"/>
      <c r="H38" s="107"/>
      <c r="I38" s="108"/>
      <c r="J38" s="108"/>
      <c r="K38" s="108"/>
      <c r="L38" s="108"/>
      <c r="N38" s="109"/>
      <c r="V38" s="45"/>
      <c r="W38" s="45"/>
      <c r="X38" s="45"/>
      <c r="Y38" s="45"/>
      <c r="Z38" s="84"/>
      <c r="AA38" s="84"/>
      <c r="AB38" s="83"/>
      <c r="AC38" s="46"/>
      <c r="AD38" s="84"/>
      <c r="AI38" s="91"/>
      <c r="AJ38" s="91"/>
      <c r="AK38" s="92"/>
      <c r="AL38" s="92"/>
      <c r="AM38" s="87"/>
      <c r="AN38" s="87"/>
      <c r="AO38" s="87"/>
      <c r="AQ38" s="91"/>
      <c r="AR38" s="91"/>
      <c r="AS38" s="92"/>
      <c r="AT38" s="92"/>
      <c r="AU38" s="87"/>
      <c r="AV38" s="87"/>
    </row>
    <row r="39" spans="1:49" s="83" customFormat="1" x14ac:dyDescent="0.25">
      <c r="B39" s="84"/>
      <c r="C39" s="82"/>
      <c r="D39" s="82"/>
      <c r="E39" s="100"/>
      <c r="F39" s="101"/>
      <c r="G39" s="101"/>
      <c r="H39" s="100"/>
      <c r="I39" s="101"/>
      <c r="J39" s="101"/>
      <c r="K39" s="101"/>
      <c r="L39" s="101"/>
      <c r="N39" s="110"/>
      <c r="V39" s="85"/>
      <c r="W39" s="85"/>
      <c r="X39" s="84"/>
      <c r="Y39" s="94"/>
      <c r="Z39" s="84"/>
      <c r="AA39" s="84"/>
      <c r="AC39" s="84"/>
      <c r="AD39" s="45"/>
      <c r="AI39" s="85"/>
      <c r="AJ39" s="85"/>
      <c r="AK39" s="93"/>
      <c r="AL39" s="93"/>
      <c r="AM39" s="84"/>
      <c r="AN39" s="84"/>
      <c r="AO39" s="84"/>
      <c r="AQ39" s="85"/>
      <c r="AR39" s="85"/>
      <c r="AS39" s="93"/>
      <c r="AT39" s="93"/>
      <c r="AU39" s="84"/>
      <c r="AV39" s="84"/>
    </row>
    <row r="40" spans="1:49" s="46" customFormat="1" x14ac:dyDescent="0.25">
      <c r="B40" s="45"/>
      <c r="C40" s="50"/>
      <c r="D40" s="50"/>
      <c r="E40" s="103"/>
      <c r="F40" s="104"/>
      <c r="G40" s="105"/>
      <c r="N40" s="111"/>
      <c r="V40" s="85"/>
      <c r="W40" s="85"/>
      <c r="X40" s="84"/>
      <c r="Y40" s="94"/>
      <c r="Z40" s="84"/>
      <c r="AA40" s="84"/>
      <c r="AB40" s="83"/>
      <c r="AC40" s="84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03"/>
      <c r="F41" s="104"/>
      <c r="G41" s="105"/>
      <c r="V41" s="85"/>
      <c r="W41" s="85"/>
      <c r="X41" s="84"/>
      <c r="Y41" s="94"/>
      <c r="Z41" s="84"/>
      <c r="AA41" s="84"/>
      <c r="AB41" s="83"/>
      <c r="AC41" s="84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03"/>
      <c r="F42" s="104"/>
      <c r="G42" s="105"/>
      <c r="V42" s="85"/>
      <c r="W42" s="85"/>
      <c r="X42" s="93"/>
      <c r="Y42" s="94"/>
      <c r="Z42" s="84"/>
      <c r="AA42" s="45"/>
      <c r="AB42" s="45"/>
      <c r="AC42" s="84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12"/>
      <c r="G43" s="103"/>
      <c r="H43" s="111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V64" s="46"/>
      <c r="W64" s="46"/>
      <c r="X64" s="46"/>
      <c r="Y64" s="46"/>
      <c r="Z64" s="46"/>
      <c r="AA64" s="46"/>
      <c r="AB64" s="46"/>
      <c r="AI64"/>
      <c r="AJ64"/>
      <c r="AK64" s="39"/>
      <c r="AL64" s="39"/>
      <c r="AQ64"/>
      <c r="AR64"/>
      <c r="AS64" s="39"/>
      <c r="AT64" s="39"/>
    </row>
    <row r="65" spans="1:48" x14ac:dyDescent="0.25">
      <c r="V65" s="46"/>
      <c r="W65" s="46"/>
      <c r="X65" s="46"/>
      <c r="Y65" s="46"/>
      <c r="Z65" s="46"/>
      <c r="AA65" s="46"/>
      <c r="AB65" s="46"/>
      <c r="AI65"/>
      <c r="AJ65"/>
      <c r="AK65" s="39"/>
      <c r="AL65" s="39"/>
      <c r="AQ65"/>
      <c r="AR65"/>
      <c r="AS65" s="39"/>
      <c r="AT65" s="39"/>
    </row>
    <row r="66" spans="1:48" x14ac:dyDescent="0.25">
      <c r="V66" s="46"/>
      <c r="W66" s="46"/>
      <c r="X66" s="46"/>
      <c r="Y66" s="46"/>
      <c r="Z66" s="46"/>
      <c r="AA66" s="46"/>
      <c r="AB66" s="46"/>
      <c r="AC66" s="46"/>
      <c r="AI66"/>
      <c r="AJ66"/>
      <c r="AK66" s="39"/>
      <c r="AL66" s="39"/>
      <c r="AQ66"/>
      <c r="AR66"/>
      <c r="AS66" s="39"/>
      <c r="AT66" s="39"/>
    </row>
    <row r="67" spans="1:48" x14ac:dyDescent="0.25">
      <c r="AC67" s="46"/>
      <c r="AD67" s="46"/>
      <c r="AI67"/>
      <c r="AJ67"/>
      <c r="AK67" s="39"/>
      <c r="AL67" s="39"/>
      <c r="AQ67"/>
      <c r="AR67"/>
      <c r="AS67" s="39"/>
      <c r="AT67" s="39"/>
    </row>
    <row r="68" spans="1:48" x14ac:dyDescent="0.25">
      <c r="AC68" s="46"/>
      <c r="AD68" s="46"/>
      <c r="AE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68"/>
      <c r="F69" s="68"/>
      <c r="G69" s="1"/>
      <c r="H69"/>
      <c r="I69" s="68"/>
      <c r="J69"/>
      <c r="K69"/>
      <c r="L69" s="68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3"/>
      <c r="C70" s="73"/>
      <c r="D70" s="73"/>
      <c r="E70" s="73"/>
      <c r="F70" s="73"/>
      <c r="G70" s="73"/>
      <c r="H70" s="74"/>
      <c r="I70" s="73"/>
      <c r="J70" s="73"/>
      <c r="K70" s="73"/>
      <c r="L70" s="73"/>
      <c r="M70" s="45"/>
      <c r="N70" s="45"/>
      <c r="O70" s="45"/>
      <c r="P70" s="45"/>
      <c r="Q70" s="45"/>
      <c r="R70" s="45"/>
      <c r="S70" s="45"/>
      <c r="V70" s="45"/>
      <c r="W70" s="45"/>
      <c r="X70" s="45"/>
      <c r="Y70" s="45"/>
      <c r="Z70" s="45"/>
      <c r="AA70" s="45"/>
      <c r="AB70" s="45"/>
      <c r="AC70" s="45"/>
      <c r="AD70" s="45"/>
      <c r="AI70"/>
      <c r="AJ70" s="74"/>
      <c r="AK70" s="39"/>
      <c r="AL70" s="41"/>
      <c r="AM70" s="45"/>
      <c r="AN70" s="45"/>
      <c r="AQ70"/>
      <c r="AR70" s="74"/>
      <c r="AS70" s="39"/>
      <c r="AT70" s="41"/>
      <c r="AU70" s="45"/>
      <c r="AV70" s="45"/>
    </row>
    <row r="71" spans="1:48" s="46" customFormat="1" x14ac:dyDescent="0.25">
      <c r="A71" s="68"/>
      <c r="B71" s="75"/>
      <c r="C71" s="76"/>
      <c r="D71" s="75"/>
      <c r="E71" s="75"/>
      <c r="F71" s="75"/>
      <c r="G71" s="75"/>
      <c r="H71" s="74"/>
      <c r="I71" s="75"/>
      <c r="J71" s="75"/>
      <c r="K71" s="76"/>
      <c r="L71" s="76"/>
      <c r="M71" s="68"/>
      <c r="N71" s="68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I71" s="42"/>
      <c r="AJ71" s="42"/>
      <c r="AK71" s="54"/>
    </row>
    <row r="72" spans="1:48" s="46" customFormat="1" x14ac:dyDescent="0.25">
      <c r="A72" s="73"/>
      <c r="B72" s="75"/>
      <c r="C72" s="75"/>
      <c r="D72" s="75"/>
      <c r="E72" s="75"/>
      <c r="F72" s="75"/>
      <c r="G72" s="75"/>
      <c r="H72" s="74"/>
      <c r="I72" s="75"/>
      <c r="J72" s="75"/>
      <c r="K72" s="75"/>
      <c r="L72" s="75"/>
      <c r="M72" s="73"/>
      <c r="N72" s="73"/>
      <c r="O72" s="73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75"/>
      <c r="B73"/>
      <c r="C73" s="39"/>
      <c r="D73" s="39"/>
      <c r="H73"/>
      <c r="I73"/>
      <c r="J73"/>
      <c r="K73" s="39"/>
      <c r="L73" s="39"/>
      <c r="M73" s="76"/>
      <c r="N73" s="76"/>
      <c r="O73" s="75"/>
      <c r="P73" s="46"/>
      <c r="Q73" s="46"/>
      <c r="R73" s="46"/>
      <c r="S73" s="46"/>
      <c r="AI73" s="38"/>
      <c r="AJ73" s="38"/>
      <c r="AK73" s="50"/>
    </row>
    <row r="74" spans="1:48" x14ac:dyDescent="0.25">
      <c r="A74" s="75"/>
      <c r="B74"/>
      <c r="C74" s="39"/>
      <c r="D74" s="39"/>
      <c r="H74" s="72"/>
      <c r="I74"/>
      <c r="J74"/>
      <c r="K74" s="39"/>
      <c r="L74" s="39"/>
      <c r="M74" s="75"/>
      <c r="N74" s="75"/>
      <c r="O74" s="75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2026-04-27T05:52:08Z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