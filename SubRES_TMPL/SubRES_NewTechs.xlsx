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77ECF40F-F9EA-4C77-AFCB-7248A511BBB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7" l="1"/>
  <c r="C35" i="7"/>
  <c r="C34" i="7"/>
  <c r="B34" i="7"/>
  <c r="D21" i="7"/>
  <c r="D19" i="7"/>
  <c r="C33" i="7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<sst xmlns="http://schemas.openxmlformats.org/spreadsheetml/2006/main" count="352" uniqueCount="163">
  <si>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</si>
  <si>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</si>
  <si>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</si>
  <si>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</si>
  <si>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</si>
  <si>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</si>
  <si>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</si>
  <si>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</si>
  <si>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</si>
  <si>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</si>
  <si>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</si>
  <si>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</si>
  <si>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</si>
  <si>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</si>
  <si>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</si>
  <si>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</si>
  <si>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</si>
  <si>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</si>
  <si>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</si>
  <si>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</si>
  <si>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</si>
  <si>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</si>
  <si>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</si>
  <si>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</si>
  <si>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</si>
  <si>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</si>
  <si>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</si>
  <si>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</si>
  <si>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</si>
  <si>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</si>
  <si>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</si>
  <si>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</si>
  <si>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</si>
  <si>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</si>
  <si>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</si>
  <si>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</si>
  <si>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</si>
  <si>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</si>
  <si>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</si>
  <si>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</si>
  <si>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</si>
  <si>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</si>
  <si>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</si>
  <si>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</si>
  <si>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</si>
  <si>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</si>
  <si>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</si>
  <si>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</si>
  <si>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</si>
  <si>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</si>
  <si>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</si>
  <si>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</si>
  <si>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</si>
  <si>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</si>
  <si>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</si>
  <si>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</si>
  <si>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</si>
  <si>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</si>
  <si>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</si>
  <si>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</si>
  <si>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</si>
  <si>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</si>
  <si>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</si>
  <si>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</si>
  <si>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</si>
  <si>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</si>
  <si>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</si>
  <si>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</si>
  <si>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</si>
  <si>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</si>
  <si>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</si>
  <si>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</si>
  <si>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</si>
  <si>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</si>
  <si>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</si>
  <si>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</si>
  <si>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</si>
  <si>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</si>
  <si>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</si>
  <si>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</si>
  <si>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</si>
  <si>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</si>
  <si>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</si>
  <si>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</si>
  <si>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</si>
  <si>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</si>
  <si>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</si>
  <si>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</si>
  <si>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</si>
  <si>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</si>
  <si>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</si>
  <si>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</si>
  <si>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</si>
  <si>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</si>
  <si>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</si>
  <si>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</si>
  <si>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</si>
  <si>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</si>
  <si>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</si>
  <si>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</si>
  <si>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</si>
  <si>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</si>
  <si>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</si>
  <si>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</si>
  <si>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</si>
  <si>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</si>
  <si>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</si>
  <si>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</si>
  <si>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</si>
  <si>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</si>
  <si>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</si>
  <si>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</si>
  <si>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</si>
  <si>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</si>
  <si>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</si>
  <si>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</si>
  <si>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</si>
  <si>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</si>
  <si>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</si>
  <si>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</si>
  <si>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</si>
  <si>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</si>
  <si>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</si>
  <si>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</si>
  <si>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</si>
  <si>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</si>
  <si>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</si>
  <si>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</si>
  <si>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</si>
  <si>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</si>
  <si>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</si>
  <si>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</si>
  <si>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</si>
  <si>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</si>
  <si>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</si>
  <si>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</si>
  <si>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</si>
  <si>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</si>
  <si>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</si>
  <si>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</si>
  <si>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</si>
  <si>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</si>
  <si>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</si>
  <si>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</si>
  <si>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</si>
  <si>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</si>
  <si>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</si>
  <si>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</si>
  <si>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</si>
  <si>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</si>
  <si>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</si>
  <si>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</si>
  <si>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</si>
  <si>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</si>
  <si>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</si>
  <si>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</si>
  <si>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</si>
  <si>
    <t>BHEAT</t>
  </si>
  <si>
    <t>FHEAT</t>
  </si>
  <si>
    <t>Process heat using boiler</t>
  </si>
  <si>
    <t>Process heat using furnace</t>
  </si>
  <si>
    <t>ELCTHT</t>
  </si>
  <si>
    <t>MANHEAT using Electricity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</si>
</sst>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P7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topLeftCell="A18" zoomScale="118" zoomScaleNormal="118" workbookViewId="0">
      <selection activeCell="B27" sqref="B27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V10" s="45" t="s">
        <v>138</v>
      </c>
      <c r="X10" s="45" t="s">
        <v>157</v>
      </c>
      <c r="Y10" s="45" t="s">
        <v>159</v>
      </c>
      <c r="Z10" s="72" t="s">
        <v>58</v>
      </c>
      <c r="AB10" s="72" t="s">
        <v>88</v>
      </c>
    </row>
    <row r="11" spans="2:51" x14ac:dyDescent="0.25">
      <c r="V11" s="45" t="s">
        <v>138</v>
      </c>
      <c r="X11" s="45" t="s">
        <v>158</v>
      </c>
      <c r="Y11" s="45" t="s">
        <v>160</v>
      </c>
      <c r="Z11" s="72" t="s">
        <v>58</v>
      </c>
      <c r="AB11" s="72" t="s">
        <v>88</v>
      </c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tr">
        <f>X11</f>
        <v>FHEAT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138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tr">
        <f>X10</f>
        <v>BHEAT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138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129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130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153</v>
      </c>
      <c r="Y29" s="94" t="s">
        <v>154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127</v>
      </c>
      <c r="X30" s="46" t="s">
        <v>156</v>
      </c>
      <c r="Y30" s="46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134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 t="s">
        <v>127</v>
      </c>
      <c r="W31" s="46"/>
      <c r="X31" s="46" t="s">
        <v>161</v>
      </c>
      <c r="Y31" s="46" t="s">
        <v>162</v>
      </c>
      <c r="Z31" s="95" t="s">
        <v>58</v>
      </c>
      <c r="AA31" s="95" t="s">
        <v>87</v>
      </c>
      <c r="AB31" s="94" t="s">
        <v>88</v>
      </c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 t="str">
        <f>X31</f>
        <v>ELCTHT</v>
      </c>
      <c r="C34" s="95" t="str">
        <f>X10</f>
        <v>BHEAT</v>
      </c>
      <c r="D34" s="93" t="s">
        <v>107</v>
      </c>
      <c r="E34" s="118">
        <v>2030</v>
      </c>
      <c r="F34" s="120">
        <v>1</v>
      </c>
      <c r="G34" s="120">
        <v>1</v>
      </c>
      <c r="H34" s="119">
        <v>100</v>
      </c>
      <c r="I34" s="119">
        <v>0</v>
      </c>
      <c r="J34" s="119">
        <v>0</v>
      </c>
      <c r="K34" s="119">
        <v>0</v>
      </c>
      <c r="L34" s="119">
        <v>0</v>
      </c>
      <c r="M34" s="121"/>
      <c r="N34" s="121"/>
      <c r="O34" s="120"/>
      <c r="P34" s="120"/>
      <c r="Q34" s="120"/>
      <c r="R34" s="121"/>
      <c r="S34" s="118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 t="str">
        <f>X31</f>
        <v>ELCTHT</v>
      </c>
      <c r="C35" s="95" t="str">
        <f>X11</f>
        <v>FHEAT</v>
      </c>
      <c r="D35" s="93" t="s">
        <v>107</v>
      </c>
      <c r="E35" s="118">
        <v>2030</v>
      </c>
      <c r="F35" s="120">
        <v>1</v>
      </c>
      <c r="G35" s="120">
        <v>1</v>
      </c>
      <c r="H35" s="119">
        <v>100</v>
      </c>
      <c r="I35" s="119">
        <v>0</v>
      </c>
      <c r="J35" s="119">
        <v>0</v>
      </c>
      <c r="K35" s="119">
        <v>0</v>
      </c>
      <c r="L35" s="119">
        <v>0</v>
      </c>
      <c r="M35" s="121"/>
      <c r="N35" s="121"/>
      <c r="O35" s="120"/>
      <c r="P35" s="120"/>
      <c r="Q35" s="120"/>
      <c r="R35" s="121"/>
      <c r="S35" s="118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2026-03-31T08:58:52Z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