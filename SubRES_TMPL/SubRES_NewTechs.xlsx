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AB1D5AA2-33A0-4C2B-934E-4968ECCB31E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7" l="1"/>
  <c r="B38" i="7"/>
  <c r="B37" i="7"/>
  <c r="B36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8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<sst xmlns="http://schemas.openxmlformats.org/spreadsheetml/2006/main" count="348" uniqueCount="156">
  <si>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</si>
  <si>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</si>
  <si>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</si>
  <si>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</si>
  <si>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</si>
  <si>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</si>
  <si>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</si>
  <si>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</si>
  <si>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</si>
  <si>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</si>
  <si>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</si>
  <si>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</si>
  <si>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</si>
  <si>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</si>
  <si>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</si>
  <si>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</si>
  <si>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</si>
  <si>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</si>
  <si>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</si>
  <si>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</si>
  <si>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</si>
  <si>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</si>
  <si>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</si>
  <si>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</si>
  <si>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</si>
  <si>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</si>
  <si>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</si>
  <si>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</si>
  <si>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</si>
  <si>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</si>
  <si>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</si>
  <si>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</si>
  <si>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</si>
  <si>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</si>
  <si>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</si>
  <si>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</si>
  <si>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</si>
  <si>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</si>
  <si>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</si>
  <si>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</si>
  <si>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</si>
  <si>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</si>
  <si>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</si>
  <si>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</si>
  <si>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</si>
  <si>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</si>
  <si>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</si>
  <si>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</si>
  <si>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</si>
  <si>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</si>
  <si>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</si>
  <si>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</si>
  <si>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</si>
  <si>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</si>
  <si>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</si>
  <si>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</si>
  <si>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</si>
  <si>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</si>
  <si>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</si>
  <si>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</si>
  <si>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</si>
  <si>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</si>
  <si>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</si>
  <si>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</si>
  <si>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</si>
  <si>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</si>
  <si>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</si>
  <si>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</si>
  <si>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</si>
  <si>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</si>
  <si>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</si>
  <si>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</si>
  <si>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</si>
  <si>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</si>
  <si>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</si>
  <si>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</si>
  <si>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</si>
  <si>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</si>
  <si>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</si>
  <si>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</si>
  <si>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</si>
  <si>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</si>
  <si>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</si>
  <si>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</si>
  <si>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</si>
  <si>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</si>
  <si>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</si>
  <si>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</si>
  <si>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</si>
  <si>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</si>
  <si>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</si>
  <si>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</si>
  <si>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</si>
  <si>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</si>
  <si>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</si>
  <si>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</si>
  <si>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</si>
  <si>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</si>
  <si>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</si>
  <si>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</si>
  <si>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</si>
  <si>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</si>
  <si>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</si>
  <si>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</si>
  <si>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</si>
  <si>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</si>
  <si>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</si>
  <si>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</si>
  <si>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</si>
  <si>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</si>
  <si>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</si>
  <si>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</si>
  <si>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</si>
  <si>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</si>
  <si>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</si>
  <si>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</si>
  <si>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</si>
  <si>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</si>
  <si>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</si>
  <si>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</si>
  <si>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</si>
  <si>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</si>
  <si>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</si>
  <si>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</si>
  <si>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</si>
  <si>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</si>
  <si>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</si>
  <si>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</si>
  <si>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</si>
  <si>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</si>
  <si>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</si>
  <si>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</si>
  <si>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</si>
  <si>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</si>
  <si>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</si>
  <si>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</si>
  <si>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</si>
  <si>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</si>
  <si>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</si>
  <si>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</si>
  <si>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</si>
  <si>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</si>
  <si>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</si>
  <si>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</si>
  <si>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</si>
  <si>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</si>
  <si>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RNWELC</t>
  </si>
  <si>
    <t>Electricity from solar or Wind</t>
  </si>
  <si>
    <t>DECELC</t>
  </si>
  <si>
    <t>Electric boiler</t>
  </si>
  <si>
    <t>Biomass kiln</t>
  </si>
  <si>
    <t>WNDELC</t>
  </si>
  <si>
    <t>SOLELC</t>
  </si>
  <si>
    <t xml:space="preserve">Decenteralized electricity </t>
  </si>
  <si>
    <t xml:space="preserve">Electricity from solar </t>
  </si>
  <si>
    <t>Electricity from 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</si>
</sst>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  <xf numFmtId="165" fontId="5" fillId="0" borderId="0" xfId="4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J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A24" zoomScale="118" zoomScaleNormal="118" workbookViewId="0">
      <selection activeCell="E42" sqref="E42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W5" s="79"/>
      <c r="X5" s="79" t="s">
        <v>146</v>
      </c>
      <c r="Y5" s="79" t="s">
        <v>147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152</v>
      </c>
      <c r="Y6" s="79" t="s">
        <v>154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  <c r="V7" s="79" t="s">
        <v>69</v>
      </c>
      <c r="X7" s="46" t="s">
        <v>151</v>
      </c>
      <c r="Y7" s="79" t="s">
        <v>155</v>
      </c>
      <c r="Z7" s="79" t="s">
        <v>58</v>
      </c>
      <c r="AB7" s="79" t="s">
        <v>88</v>
      </c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41"/>
      <c r="AB12" s="64"/>
      <c r="AC12" s="41"/>
      <c r="AD12" s="41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2"/>
      <c r="W13" s="42"/>
      <c r="X13" s="42"/>
      <c r="Y13" s="42"/>
      <c r="Z13" s="42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43"/>
      <c r="W14" s="43"/>
      <c r="X14" s="43"/>
      <c r="Y14" s="43"/>
      <c r="Z14" s="43"/>
      <c r="AA14" s="55"/>
      <c r="AB14" s="64"/>
      <c r="AC14" s="55"/>
      <c r="AD14" s="55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1" spans="2:51" x14ac:dyDescent="0.25">
      <c r="V21" s="51"/>
      <c r="W21" s="51"/>
      <c r="X21" s="51"/>
      <c r="Y21" s="51"/>
      <c r="Z21" s="51"/>
      <c r="AA21" s="51"/>
      <c r="AB21" s="51"/>
      <c r="AC21" s="51"/>
      <c r="AD21" s="51"/>
    </row>
    <row r="23" spans="2:51" x14ac:dyDescent="0.25">
      <c r="D23" s="56" t="s">
        <v>0</v>
      </c>
      <c r="E23" s="56"/>
      <c r="F23" s="56"/>
      <c r="H23" s="56"/>
      <c r="V23" s="50" t="s">
        <v>17</v>
      </c>
      <c r="W23" s="50"/>
      <c r="X23" s="51"/>
      <c r="Y23" s="51"/>
      <c r="Z23" s="51"/>
      <c r="AA23" s="51"/>
      <c r="AB23" s="51"/>
      <c r="AC23" s="51"/>
      <c r="AD23" s="51"/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x14ac:dyDescent="0.25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52" t="s">
        <v>15</v>
      </c>
      <c r="W24" s="53" t="s">
        <v>42</v>
      </c>
      <c r="X24" s="52" t="s">
        <v>1</v>
      </c>
      <c r="Y24" s="52" t="s">
        <v>2</v>
      </c>
      <c r="Z24" s="52" t="s">
        <v>18</v>
      </c>
      <c r="AA24" s="52" t="s">
        <v>19</v>
      </c>
      <c r="AB24" s="52" t="s">
        <v>20</v>
      </c>
      <c r="AC24" s="52" t="s">
        <v>21</v>
      </c>
      <c r="AD24" s="52" t="s">
        <v>22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50</v>
      </c>
      <c r="W25" s="31" t="s">
        <v>44</v>
      </c>
      <c r="X25" s="31" t="s">
        <v>27</v>
      </c>
      <c r="Y25" s="31" t="s">
        <v>28</v>
      </c>
      <c r="Z25" s="31" t="s">
        <v>29</v>
      </c>
      <c r="AA25" s="31" t="s">
        <v>30</v>
      </c>
      <c r="AB25" s="31" t="s">
        <v>51</v>
      </c>
      <c r="AC25" s="31" t="s">
        <v>52</v>
      </c>
      <c r="AD25" s="31" t="s">
        <v>31</v>
      </c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6"/>
      <c r="K26" s="35" t="s">
        <v>119</v>
      </c>
      <c r="L26" s="36"/>
      <c r="M26" s="36" t="s">
        <v>114</v>
      </c>
      <c r="N26" s="35"/>
      <c r="O26" s="36"/>
      <c r="P26" s="36"/>
      <c r="Q26" s="36"/>
      <c r="R26" s="35"/>
      <c r="S26" s="77"/>
      <c r="V26" s="31" t="s">
        <v>81</v>
      </c>
      <c r="W26" s="31"/>
      <c r="X26" s="31"/>
      <c r="Y26" s="31"/>
      <c r="Z26" s="31"/>
      <c r="AA26" s="31"/>
      <c r="AB26" s="31"/>
      <c r="AC26" s="31"/>
      <c r="AD26" s="31"/>
      <c r="AI26"/>
      <c r="AJ26" s="39"/>
      <c r="AY26" s="47"/>
    </row>
    <row r="27" spans="2:51" x14ac:dyDescent="0.25">
      <c r="B27" s="46" t="str">
        <f>X27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145</v>
      </c>
      <c r="W27" s="61"/>
      <c r="X27" s="62" t="s">
        <v>66</v>
      </c>
      <c r="Y27" s="63" t="s">
        <v>144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X$28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101</v>
      </c>
      <c r="Y28" s="63" t="s">
        <v>100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X31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145</v>
      </c>
      <c r="W29" s="61"/>
      <c r="X29" s="62" t="s">
        <v>102</v>
      </c>
      <c r="Y29" s="63" t="s">
        <v>150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X29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103</v>
      </c>
      <c r="Y30" s="63" t="s">
        <v>104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X30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105</v>
      </c>
      <c r="Y31" s="63" t="s">
        <v>149</v>
      </c>
      <c r="Z31" s="46" t="s">
        <v>58</v>
      </c>
      <c r="AA31" s="46" t="s">
        <v>87</v>
      </c>
      <c r="AB31" s="64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WNDTRBN</v>
      </c>
      <c r="C32" s="46" t="str">
        <f>PRI_Sector_Fuels!D28</f>
        <v>WIND</v>
      </c>
      <c r="D32" s="51" t="s">
        <v>151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145</v>
      </c>
      <c r="W32" s="61"/>
      <c r="X32" s="62" t="s">
        <v>65</v>
      </c>
      <c r="Y32" s="63" t="s">
        <v>106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X34</f>
        <v>SOLPV</v>
      </c>
      <c r="C33" s="46" t="str">
        <f>PRI_Sector_Fuels!D29</f>
        <v>SOLAR</v>
      </c>
      <c r="D33" s="51" t="s">
        <v>152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/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93</v>
      </c>
      <c r="Y33" s="63" t="s">
        <v>96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X32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/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94</v>
      </c>
      <c r="Y34" s="63" t="s">
        <v>95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X30</f>
        <v>GASBoiler</v>
      </c>
      <c r="C35" s="46"/>
      <c r="D35" s="51" t="s">
        <v>115</v>
      </c>
      <c r="E35" s="44">
        <v>2030</v>
      </c>
      <c r="F35" s="86"/>
      <c r="G35" s="65"/>
      <c r="H35" s="44"/>
      <c r="I35" s="65"/>
      <c r="J35" s="65"/>
      <c r="K35" s="65"/>
      <c r="L35" s="65"/>
      <c r="M35" s="69"/>
      <c r="N35" s="69"/>
      <c r="O35" s="65"/>
      <c r="P35" s="65"/>
      <c r="Q35" s="65"/>
      <c r="R35" s="69"/>
      <c r="S35" s="44"/>
      <c r="V35" s="61" t="s">
        <v>145</v>
      </c>
      <c r="W35" s="61"/>
      <c r="X35" s="62" t="s">
        <v>148</v>
      </c>
      <c r="Y35" s="63" t="s">
        <v>153</v>
      </c>
      <c r="Z35" s="46" t="s">
        <v>58</v>
      </c>
      <c r="AA35" s="46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X27</f>
        <v>Furnace</v>
      </c>
      <c r="C36" s="51" t="s">
        <v>146</v>
      </c>
      <c r="D36" s="51" t="s">
        <v>116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 t="str">
        <f>X31</f>
        <v>ELCBoiler</v>
      </c>
      <c r="C37" s="51" t="s">
        <v>146</v>
      </c>
      <c r="D37" s="51" t="s">
        <v>116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89" t="str">
        <f>X35</f>
        <v>DECELC</v>
      </c>
      <c r="C38" s="51" t="s">
        <v>151</v>
      </c>
      <c r="D38" s="51" t="s">
        <v>146</v>
      </c>
      <c r="E38" s="44">
        <v>2030</v>
      </c>
      <c r="F38" s="47">
        <v>1</v>
      </c>
      <c r="G38" s="47">
        <v>1</v>
      </c>
      <c r="H38" s="44">
        <v>100</v>
      </c>
      <c r="I38" s="65">
        <v>0</v>
      </c>
      <c r="J38" s="46">
        <v>0</v>
      </c>
      <c r="K38" s="47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89" t="str">
        <f>X35</f>
        <v>DECELC</v>
      </c>
      <c r="C39" s="51" t="s">
        <v>152</v>
      </c>
      <c r="D39" s="51" t="s">
        <v>146</v>
      </c>
      <c r="E39" s="44">
        <v>2030</v>
      </c>
      <c r="F39" s="47">
        <v>1</v>
      </c>
      <c r="G39" s="47">
        <v>1</v>
      </c>
      <c r="H39" s="44">
        <v>100</v>
      </c>
      <c r="I39" s="65">
        <v>0</v>
      </c>
      <c r="J39" s="46">
        <v>0</v>
      </c>
      <c r="K39" s="47">
        <v>0</v>
      </c>
      <c r="L39" s="65">
        <v>8.76</v>
      </c>
      <c r="M39" s="69"/>
      <c r="N39" s="69"/>
      <c r="O39" s="65"/>
      <c r="P39" s="65"/>
      <c r="Q39" s="65"/>
      <c r="R39" s="69"/>
      <c r="S39" s="44"/>
      <c r="V39" s="46"/>
      <c r="W39" s="46"/>
      <c r="X39" s="46"/>
      <c r="Y39" s="46"/>
      <c r="Z39" s="46"/>
      <c r="AA39" s="46"/>
      <c r="AC39" s="46"/>
      <c r="AD39" s="46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51"/>
      <c r="C40" s="51"/>
      <c r="D40" s="51"/>
      <c r="E40" s="44"/>
      <c r="H40" s="44"/>
      <c r="I40" s="65"/>
      <c r="J40" s="46"/>
      <c r="L40" s="65"/>
      <c r="M40" s="69"/>
      <c r="N40" s="69"/>
      <c r="O40" s="65"/>
      <c r="P40" s="65"/>
      <c r="Q40" s="65"/>
      <c r="R40" s="69"/>
      <c r="S40" s="44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51"/>
      <c r="C41" s="46"/>
      <c r="D41" s="51"/>
      <c r="E41" s="44"/>
      <c r="F41" s="86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46"/>
      <c r="C43" s="51"/>
      <c r="D43" s="87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46"/>
      <c r="C44" s="51"/>
      <c r="D44" s="87"/>
      <c r="E44" s="44"/>
      <c r="F44" s="65"/>
      <c r="G44" s="65"/>
      <c r="H44" s="44"/>
      <c r="I44" s="65"/>
      <c r="J44" s="65"/>
      <c r="K44" s="65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F45" s="65"/>
      <c r="G45" s="65"/>
      <c r="H45" s="44"/>
      <c r="I45" s="65"/>
      <c r="J45" s="65"/>
      <c r="K45" s="65"/>
      <c r="L45" s="65"/>
      <c r="M45" s="44"/>
      <c r="N45" s="69"/>
      <c r="O45" s="44"/>
      <c r="P45" s="44"/>
      <c r="Q45" s="44"/>
      <c r="R45" s="44"/>
      <c r="S45" s="44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44"/>
      <c r="H46" s="44"/>
      <c r="I46" s="65"/>
      <c r="J46" s="46"/>
      <c r="L46" s="65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44"/>
      <c r="H47" s="44"/>
      <c r="I47" s="65"/>
      <c r="J47" s="46"/>
      <c r="L47" s="65"/>
      <c r="N47" s="6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46"/>
      <c r="C48" s="51"/>
      <c r="D48" s="51"/>
      <c r="E48" s="65"/>
      <c r="F48" s="66"/>
      <c r="K48" s="46"/>
      <c r="V48" s="46"/>
      <c r="W48" s="46"/>
      <c r="X48" s="46"/>
      <c r="Y48" s="46"/>
      <c r="Z48" s="51"/>
      <c r="AA48" s="51"/>
      <c r="AB48" s="64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51"/>
      <c r="C49" s="51"/>
      <c r="D49" s="51"/>
      <c r="E49" s="65"/>
      <c r="F49" s="66"/>
      <c r="J49" s="67"/>
      <c r="K49" s="46"/>
      <c r="V49" s="46"/>
      <c r="X49" s="46"/>
      <c r="Z49" s="55"/>
      <c r="AA49" s="55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B50" s="51"/>
      <c r="D50" s="51"/>
      <c r="E50" s="65"/>
      <c r="F50" s="68"/>
      <c r="J50" s="69"/>
      <c r="L50" s="47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E51" s="65"/>
      <c r="F51" s="68"/>
      <c r="J51" s="69"/>
      <c r="L51" s="47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F52" s="68"/>
      <c r="G52" s="44"/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B54" s="71"/>
      <c r="C54" s="46" t="s">
        <v>82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B55" s="72"/>
      <c r="C55" s="46" t="s">
        <v>83</v>
      </c>
      <c r="H55" s="70"/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89</v>
      </c>
      <c r="F56" s="46" t="s">
        <v>90</v>
      </c>
      <c r="H56" s="70"/>
      <c r="AI56"/>
      <c r="AJ56"/>
      <c r="AK56" s="39"/>
      <c r="AL56" s="39"/>
      <c r="AQ56"/>
      <c r="AR56"/>
      <c r="AS56" s="39"/>
      <c r="AT56" s="39"/>
    </row>
    <row r="57" spans="1:48" x14ac:dyDescent="0.25">
      <c r="AI57"/>
      <c r="AJ57"/>
      <c r="AK57" s="39"/>
      <c r="AL57" s="39"/>
      <c r="AQ57"/>
      <c r="AR57"/>
      <c r="AS57" s="39"/>
      <c r="AT57" s="39"/>
    </row>
    <row r="58" spans="1:48" x14ac:dyDescent="0.25">
      <c r="E58" s="46" t="s">
        <v>91</v>
      </c>
      <c r="F58" s="46">
        <f>24*365</f>
        <v>8760</v>
      </c>
      <c r="AI58"/>
      <c r="AJ58"/>
      <c r="AK58" s="39"/>
      <c r="AL58" s="39"/>
      <c r="AQ58"/>
      <c r="AR58"/>
      <c r="AS58" s="39"/>
      <c r="AT58" s="39"/>
    </row>
    <row r="59" spans="1:48" x14ac:dyDescent="0.25">
      <c r="E59" s="44"/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B66" s="74" t="s">
        <v>123</v>
      </c>
      <c r="C66" s="74"/>
      <c r="D66"/>
      <c r="E66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ht="13.8" thickBot="1" x14ac:dyDescent="0.3">
      <c r="B67" s="75" t="s">
        <v>124</v>
      </c>
      <c r="C67" s="75" t="s">
        <v>125</v>
      </c>
      <c r="D67" s="75" t="s">
        <v>11</v>
      </c>
      <c r="E67" s="75" t="s">
        <v>118</v>
      </c>
      <c r="F67" s="75">
        <v>2022</v>
      </c>
      <c r="G67" s="75">
        <v>2025</v>
      </c>
      <c r="H67" s="75">
        <v>2030</v>
      </c>
      <c r="I67" s="75">
        <v>2035</v>
      </c>
      <c r="J67" s="75">
        <v>2040</v>
      </c>
      <c r="K67" s="75">
        <v>2045</v>
      </c>
      <c r="L67" s="75">
        <v>2050</v>
      </c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94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93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65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126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102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105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B74" t="s">
        <v>111</v>
      </c>
      <c r="C74" t="s">
        <v>66</v>
      </c>
      <c r="D74" t="s">
        <v>127</v>
      </c>
      <c r="E74" s="1" t="s">
        <v>128</v>
      </c>
      <c r="F74">
        <v>0</v>
      </c>
      <c r="G74">
        <v>0</v>
      </c>
      <c r="H74"/>
      <c r="I74"/>
      <c r="J74"/>
      <c r="K74"/>
      <c r="L74"/>
      <c r="AI74"/>
      <c r="AJ74"/>
      <c r="AK74" s="39"/>
      <c r="AL74" s="39"/>
      <c r="AQ74"/>
      <c r="AR74"/>
      <c r="AS74" s="39"/>
      <c r="AT74" s="39"/>
    </row>
    <row r="75" spans="1:48" x14ac:dyDescent="0.25">
      <c r="B75" t="s">
        <v>111</v>
      </c>
      <c r="C75" t="s">
        <v>103</v>
      </c>
      <c r="D75" t="s">
        <v>127</v>
      </c>
      <c r="E75" s="1" t="s">
        <v>128</v>
      </c>
      <c r="F75">
        <v>0</v>
      </c>
      <c r="G75">
        <v>0</v>
      </c>
      <c r="H75"/>
      <c r="I75"/>
      <c r="J75"/>
      <c r="K75"/>
      <c r="L75"/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I78"/>
      <c r="AJ78"/>
      <c r="AK78" s="39"/>
      <c r="AL78" s="39"/>
      <c r="AQ78"/>
      <c r="AR78"/>
      <c r="AS78" s="39"/>
      <c r="AT78" s="39"/>
    </row>
    <row r="79" spans="1:48" x14ac:dyDescent="0.25"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/>
      <c r="C81"/>
      <c r="D81" s="46"/>
      <c r="E81" s="74"/>
      <c r="F81" s="74"/>
      <c r="G81" s="1"/>
      <c r="H81"/>
      <c r="I81" s="74"/>
      <c r="J81"/>
      <c r="K81"/>
      <c r="L81" s="74"/>
      <c r="M81" s="74"/>
      <c r="N81" s="74"/>
      <c r="O81" s="1"/>
      <c r="P81" s="46"/>
      <c r="Q81" s="46"/>
      <c r="R81" s="46"/>
      <c r="S81" s="46"/>
      <c r="AI81" s="43"/>
      <c r="AJ81" s="43"/>
      <c r="AK81" s="55"/>
    </row>
    <row r="82" spans="1:37" s="47" customFormat="1" x14ac:dyDescent="0.25">
      <c r="A82" s="82"/>
      <c r="B82" s="82"/>
      <c r="C82" s="82"/>
      <c r="D82" s="82"/>
      <c r="E82" s="82"/>
      <c r="F82" s="82"/>
      <c r="G82" s="82"/>
      <c r="H82" s="83"/>
      <c r="I82" s="82"/>
      <c r="J82" s="82"/>
      <c r="K82" s="82"/>
      <c r="L82" s="82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 s="84"/>
      <c r="C83" s="85"/>
      <c r="D83" s="84"/>
      <c r="E83" s="84"/>
      <c r="F83" s="84"/>
      <c r="G83" s="84"/>
      <c r="H83" s="83"/>
      <c r="I83" s="84"/>
      <c r="J83" s="84"/>
      <c r="K83" s="85"/>
      <c r="L83" s="85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 s="84"/>
      <c r="C84" s="84"/>
      <c r="D84" s="84"/>
      <c r="E84" s="84"/>
      <c r="F84" s="84"/>
      <c r="G84" s="84"/>
      <c r="H84" s="83"/>
      <c r="I84" s="84"/>
      <c r="J84" s="84"/>
      <c r="K84" s="84"/>
      <c r="L84" s="84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H85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H86" s="81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H102" s="47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H103" s="47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B131"/>
      <c r="C131" s="39"/>
      <c r="D131" s="39"/>
      <c r="I131"/>
      <c r="J131"/>
      <c r="K131" s="39"/>
      <c r="L131" s="39"/>
      <c r="AI131" s="38"/>
      <c r="AJ131" s="38"/>
      <c r="AK131" s="51"/>
    </row>
    <row r="132" spans="1:37" x14ac:dyDescent="0.25">
      <c r="A132"/>
      <c r="B132"/>
      <c r="C132" s="39"/>
      <c r="D132" s="39"/>
      <c r="I132"/>
      <c r="J132"/>
      <c r="K132" s="39"/>
      <c r="L132" s="39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2026-02-17T15:51:18Z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