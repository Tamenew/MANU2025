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1237C312-93F3-44F5-817B-1F5D780F271F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7" l="1"/>
  <c r="B33" i="7"/>
  <c r="B32" i="7"/>
  <c r="C32" i="7"/>
  <c r="B31" i="7"/>
  <c r="D31" i="7" l="1"/>
  <c r="D29" i="7"/>
  <c r="D28" i="7"/>
  <c r="D26" i="7"/>
  <c r="D20" i="7"/>
  <c r="B30" i="7"/>
  <c r="B28" i="7"/>
  <c r="B29" i="7"/>
  <c r="B27" i="7"/>
  <c r="D19" i="6"/>
  <c r="C24" i="7" s="1"/>
  <c r="D20" i="6"/>
  <c r="C26" i="7" s="1"/>
  <c r="B19" i="6"/>
  <c r="B20" i="6"/>
  <c r="C23" i="7"/>
  <c r="B18" i="6"/>
  <c r="B26" i="7"/>
  <c r="B25" i="7"/>
  <c r="B24" i="7"/>
  <c r="B23" i="7"/>
  <c r="D18" i="6"/>
  <c r="D17" i="6"/>
  <c r="B21" i="7"/>
  <c r="B22" i="7"/>
  <c r="B20" i="7"/>
  <c r="C22" i="7"/>
  <c r="C20" i="7"/>
  <c r="B19" i="7"/>
  <c r="Q18" i="6"/>
  <c r="D2" i="7"/>
  <c r="Q17" i="6"/>
  <c r="B17" i="6"/>
  <c r="C2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<sst xmlns="http://schemas.openxmlformats.org/spreadsheetml/2006/main" count="336" uniqueCount="158">
  <si>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</si>
  <si>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</si>
  <si>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</si>
  <si>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</si>
  <si>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</si>
  <si>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</si>
  <si>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</si>
  <si>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</si>
  <si>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</si>
  <si>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</si>
  <si>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</si>
  <si>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</si>
  <si>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</si>
  <si>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</si>
  <si>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</si>
  <si>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</si>
  <si>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</si>
  <si>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</si>
  <si>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</si>
  <si>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</si>
  <si>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</si>
  <si>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</si>
  <si>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</si>
  <si>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</si>
  <si>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</si>
  <si>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</si>
  <si>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</si>
  <si>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</si>
  <si>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</si>
  <si>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</si>
  <si>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</si>
  <si>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</si>
  <si>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</si>
  <si>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</si>
  <si>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</si>
  <si>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</si>
  <si>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</si>
  <si>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</si>
  <si>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</si>
  <si>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</si>
  <si>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</si>
  <si>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</si>
  <si>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</si>
  <si>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</si>
  <si>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</si>
  <si>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</si>
  <si>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</si>
  <si>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</si>
  <si>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</si>
  <si>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</si>
  <si>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</si>
  <si>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</si>
  <si>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</si>
  <si>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</si>
  <si>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</si>
  <si>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</si>
  <si>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</si>
  <si>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</si>
  <si>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</si>
  <si>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</si>
  <si>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</si>
  <si>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</si>
  <si>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</si>
  <si>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</si>
  <si>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</si>
  <si>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</si>
  <si>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</si>
  <si>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</si>
  <si>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</si>
  <si>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</si>
  <si>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</si>
  <si>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</si>
  <si>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</si>
  <si>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</si>
  <si>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</si>
  <si>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</si>
  <si>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</si>
  <si>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</si>
  <si>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</si>
  <si>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</si>
  <si>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</si>
  <si>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</si>
  <si>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</si>
  <si>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</si>
  <si>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</si>
  <si>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</si>
  <si>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</si>
  <si>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</si>
  <si>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</si>
  <si>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</si>
  <si>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</si>
  <si>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</si>
  <si>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</si>
  <si>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</si>
  <si>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</si>
  <si>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</si>
  <si>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</si>
  <si>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</si>
  <si>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</si>
  <si>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</si>
  <si>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</si>
  <si>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</si>
  <si>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</si>
  <si>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</si>
  <si>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</si>
  <si>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</si>
  <si>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</si>
  <si>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</si>
  <si>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</si>
  <si>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</si>
  <si>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</si>
  <si>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</si>
  <si>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</si>
  <si>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</si>
  <si>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</si>
  <si>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</si>
  <si>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</si>
  <si>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</si>
  <si>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</si>
  <si>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</si>
  <si>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</si>
  <si>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</si>
  <si>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</si>
  <si>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</si>
  <si>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</si>
  <si>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</si>
  <si>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</si>
  <si>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</si>
  <si>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</si>
  <si>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</si>
  <si>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</si>
  <si>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</si>
  <si>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</si>
  <si>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</si>
  <si>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</si>
  <si>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</si>
  <si>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</si>
  <si>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</si>
  <si>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</si>
  <si>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</si>
  <si>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</si>
  <si>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</si>
  <si>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</si>
  <si>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</si>
  <si>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</si>
  <si>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</si>
  <si>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</si>
  <si>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</si>
  <si>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</si>
  <si>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</si>
  <si>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Decentralized Electricity form Solar, Wind and Bio</t>
  </si>
  <si>
    <t>DECPOWER</t>
  </si>
  <si>
    <t>Process heat from  renewables-CSP and BIO</t>
  </si>
  <si>
    <t>DECRHEAT</t>
  </si>
  <si>
    <t>ELC_AGG</t>
  </si>
  <si>
    <t>Electricity aggrigator</t>
  </si>
  <si>
    <t>Bioheat and CSP heat aggrigator</t>
  </si>
  <si>
    <t>DECTHT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</si>
</sst>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b/>
      <sz val="10"/>
      <color rgb="FFFF000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  <font>
      <sz val="10"/>
      <color theme="8"/>
      <name val="Arial"/>
      <family val="2"/>
    </font>
    <font>
      <b/>
      <sz val="10"/>
      <color theme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37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165" fontId="16" fillId="0" borderId="0" xfId="4" applyNumberFormat="1" applyFont="1"/>
    <xf numFmtId="0" fontId="16" fillId="11" borderId="0" xfId="0" applyFont="1" applyFill="1"/>
    <xf numFmtId="0" fontId="25" fillId="0" borderId="0" xfId="4" applyFont="1"/>
    <xf numFmtId="165" fontId="25" fillId="0" borderId="0" xfId="4" applyNumberFormat="1" applyFont="1"/>
    <xf numFmtId="0" fontId="25" fillId="8" borderId="0" xfId="4" applyFont="1" applyFill="1"/>
    <xf numFmtId="0" fontId="25" fillId="11" borderId="0" xfId="0" applyFont="1" applyFill="1"/>
    <xf numFmtId="165" fontId="25" fillId="11" borderId="0" xfId="0" applyNumberFormat="1" applyFont="1" applyFill="1"/>
    <xf numFmtId="165" fontId="25" fillId="11" borderId="0" xfId="0" applyNumberFormat="1" applyFont="1" applyFill="1" applyAlignment="1">
      <alignment wrapText="1"/>
    </xf>
    <xf numFmtId="0" fontId="26" fillId="8" borderId="0" xfId="0" applyFont="1" applyFill="1"/>
    <xf numFmtId="0" fontId="25" fillId="0" borderId="0" xfId="0" applyFont="1"/>
    <xf numFmtId="165" fontId="25" fillId="0" borderId="0" xfId="0" applyNumberFormat="1" applyFont="1"/>
    <xf numFmtId="0" fontId="16" fillId="8" borderId="0" xfId="4" applyFont="1" applyFill="1"/>
    <xf numFmtId="165" fontId="16" fillId="11" borderId="0" xfId="0" applyNumberFormat="1" applyFont="1" applyFill="1"/>
    <xf numFmtId="165" fontId="16" fillId="11" borderId="0" xfId="0" applyNumberFormat="1" applyFont="1" applyFill="1" applyAlignment="1">
      <alignment wrapText="1"/>
    </xf>
    <xf numFmtId="0" fontId="27" fillId="8" borderId="0" xfId="0" applyFont="1" applyFill="1"/>
    <xf numFmtId="165" fontId="28" fillId="0" borderId="0" xfId="4" applyNumberFormat="1" applyFont="1"/>
    <xf numFmtId="0" fontId="28" fillId="8" borderId="0" xfId="4" applyFont="1" applyFill="1"/>
    <xf numFmtId="0" fontId="28" fillId="0" borderId="0" xfId="4" applyFont="1"/>
    <xf numFmtId="0" fontId="28" fillId="11" borderId="0" xfId="0" applyFont="1" applyFill="1"/>
    <xf numFmtId="165" fontId="28" fillId="11" borderId="0" xfId="0" applyNumberFormat="1" applyFont="1" applyFill="1"/>
    <xf numFmtId="165" fontId="28" fillId="11" borderId="0" xfId="0" applyNumberFormat="1" applyFont="1" applyFill="1" applyAlignment="1">
      <alignment wrapText="1"/>
    </xf>
    <xf numFmtId="0" fontId="28" fillId="0" borderId="0" xfId="0" applyFont="1"/>
    <xf numFmtId="0" fontId="30" fillId="8" borderId="0" xfId="4" applyFont="1" applyFill="1"/>
    <xf numFmtId="0" fontId="30" fillId="0" borderId="0" xfId="4" applyFont="1"/>
    <xf numFmtId="165" fontId="30" fillId="0" borderId="0" xfId="4" applyNumberFormat="1" applyFont="1"/>
    <xf numFmtId="165" fontId="30" fillId="8" borderId="0" xfId="4" applyNumberFormat="1" applyFont="1" applyFill="1"/>
    <xf numFmtId="0" fontId="31" fillId="8" borderId="0" xfId="0" applyFont="1" applyFill="1"/>
    <xf numFmtId="0" fontId="30" fillId="0" borderId="0" xfId="0" applyFont="1"/>
    <xf numFmtId="165" fontId="30" fillId="0" borderId="0" xfId="0" applyNumberFormat="1" applyFont="1"/>
    <xf numFmtId="165" fontId="28" fillId="0" borderId="0" xfId="0" applyNumberFormat="1" applyFont="1"/>
    <xf numFmtId="165" fontId="28" fillId="0" borderId="0" xfId="0" applyNumberFormat="1" applyFont="1" applyAlignment="1">
      <alignment wrapText="1"/>
    </xf>
    <xf numFmtId="1" fontId="25" fillId="12" borderId="0" xfId="4" applyNumberFormat="1" applyFont="1" applyFill="1"/>
    <xf numFmtId="2" fontId="25" fillId="12" borderId="0" xfId="4" applyNumberFormat="1" applyFont="1" applyFill="1"/>
    <xf numFmtId="1" fontId="16" fillId="12" borderId="0" xfId="4" applyNumberFormat="1" applyFont="1" applyFill="1"/>
    <xf numFmtId="2" fontId="16" fillId="12" borderId="0" xfId="4" applyNumberFormat="1" applyFont="1" applyFill="1"/>
    <xf numFmtId="166" fontId="16" fillId="12" borderId="0" xfId="4" applyNumberFormat="1" applyFont="1" applyFill="1"/>
    <xf numFmtId="0" fontId="25" fillId="12" borderId="0" xfId="4" applyFont="1" applyFill="1"/>
    <xf numFmtId="1" fontId="21" fillId="12" borderId="0" xfId="4" applyNumberFormat="1" applyFont="1" applyFill="1"/>
    <xf numFmtId="2" fontId="21" fillId="12" borderId="0" xfId="4" applyNumberFormat="1" applyFont="1" applyFill="1"/>
    <xf numFmtId="166" fontId="21" fillId="12" borderId="0" xfId="4" applyNumberFormat="1" applyFont="1" applyFill="1"/>
    <xf numFmtId="1" fontId="28" fillId="12" borderId="0" xfId="4" applyNumberFormat="1" applyFont="1" applyFill="1"/>
    <xf numFmtId="0" fontId="28" fillId="12" borderId="0" xfId="4" applyFont="1" applyFill="1"/>
    <xf numFmtId="2" fontId="28" fillId="12" borderId="0" xfId="4" applyNumberFormat="1" applyFont="1" applyFill="1"/>
    <xf numFmtId="166" fontId="28" fillId="12" borderId="0" xfId="4" applyNumberFormat="1" applyFont="1" applyFill="1"/>
    <xf numFmtId="0" fontId="21" fillId="12" borderId="0" xfId="4" applyFont="1" applyFill="1"/>
    <xf numFmtId="0" fontId="29" fillId="12" borderId="0" xfId="0" applyFont="1" applyFill="1"/>
    <xf numFmtId="1" fontId="28" fillId="8" borderId="0" xfId="4" applyNumberFormat="1" applyFont="1" applyFill="1"/>
    <xf numFmtId="2" fontId="28" fillId="8" borderId="0" xfId="4" applyNumberFormat="1" applyFont="1" applyFill="1"/>
    <xf numFmtId="166" fontId="28" fillId="8" borderId="0" xfId="4" applyNumberFormat="1" applyFont="1" applyFill="1"/>
    <xf numFmtId="1" fontId="21" fillId="8" borderId="0" xfId="4" applyNumberFormat="1" applyFont="1" applyFill="1"/>
    <xf numFmtId="2" fontId="16" fillId="8" borderId="0" xfId="4" applyNumberFormat="1" applyFont="1" applyFill="1"/>
    <xf numFmtId="2" fontId="21" fillId="8" borderId="0" xfId="4" applyNumberFormat="1" applyFont="1" applyFill="1"/>
    <xf numFmtId="166" fontId="21" fillId="8" borderId="0" xfId="4" applyNumberFormat="1" applyFont="1" applyFill="1"/>
    <xf numFmtId="1" fontId="30" fillId="8" borderId="0" xfId="4" applyNumberFormat="1" applyFont="1" applyFill="1"/>
    <xf numFmtId="2" fontId="30" fillId="8" borderId="0" xfId="4" applyNumberFormat="1" applyFont="1" applyFill="1"/>
    <xf numFmtId="9" fontId="30" fillId="8" borderId="0" xfId="21" applyFont="1" applyFill="1"/>
    <xf numFmtId="9" fontId="28" fillId="8" borderId="0" xfId="21" applyFont="1" applyFill="1"/>
    <xf numFmtId="9" fontId="21" fillId="8" borderId="0" xfId="21" applyFont="1" applyFill="1"/>
    <xf numFmtId="9" fontId="21" fillId="8" borderId="0" xfId="4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C1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67" t="s">
        <v>58</v>
      </c>
      <c r="F2" s="67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67" t="s">
        <v>58</v>
      </c>
      <c r="F3" s="67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67" t="s">
        <v>58</v>
      </c>
      <c r="F4" s="67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67" t="s">
        <v>58</v>
      </c>
      <c r="F5" s="67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138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119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120</v>
      </c>
      <c r="Q8" s="37" t="s">
        <v>121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122</v>
      </c>
      <c r="Q19" s="1" t="s">
        <v>125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123</v>
      </c>
      <c r="Q20" s="14" t="s">
        <v>124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0"/>
  <sheetViews>
    <sheetView tabSelected="1" topLeftCell="F7" zoomScale="118" zoomScaleNormal="118" workbookViewId="0">
      <selection activeCell="V33" sqref="V33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4.554687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2" t="s">
        <v>69</v>
      </c>
      <c r="X5" s="45" t="s">
        <v>131</v>
      </c>
      <c r="Y5" s="72" t="s">
        <v>132</v>
      </c>
      <c r="Z5" s="72" t="s">
        <v>58</v>
      </c>
      <c r="AB5" s="72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2" t="s">
        <v>69</v>
      </c>
      <c r="X6" s="45" t="s">
        <v>130</v>
      </c>
      <c r="Y6" s="72" t="s">
        <v>133</v>
      </c>
      <c r="Z6" s="72" t="s">
        <v>58</v>
      </c>
      <c r="AB6" s="72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135</v>
      </c>
      <c r="Y7" s="45" t="s">
        <v>136</v>
      </c>
      <c r="Z7" s="72" t="s">
        <v>58</v>
      </c>
      <c r="AB7" s="72" t="s">
        <v>88</v>
      </c>
    </row>
    <row r="8" spans="2:51" x14ac:dyDescent="0.25">
      <c r="V8" s="50" t="s">
        <v>69</v>
      </c>
      <c r="W8" s="50"/>
      <c r="X8" s="50" t="s">
        <v>129</v>
      </c>
      <c r="Y8" s="50" t="s">
        <v>150</v>
      </c>
      <c r="Z8" s="72" t="s">
        <v>58</v>
      </c>
      <c r="AA8" s="50"/>
      <c r="AB8" s="72" t="s">
        <v>88</v>
      </c>
      <c r="AE8" s="46"/>
    </row>
    <row r="9" spans="2:51" x14ac:dyDescent="0.25">
      <c r="V9" s="50" t="s">
        <v>139</v>
      </c>
      <c r="W9" s="50"/>
      <c r="X9" s="50" t="s">
        <v>153</v>
      </c>
      <c r="Y9" s="50" t="s">
        <v>152</v>
      </c>
      <c r="Z9" s="72" t="s">
        <v>58</v>
      </c>
      <c r="AB9" s="72" t="s">
        <v>88</v>
      </c>
      <c r="AC9" s="50"/>
      <c r="AD9" s="50"/>
    </row>
    <row r="10" spans="2:51" x14ac:dyDescent="0.25">
      <c r="Z10" s="72"/>
      <c r="AB10" s="72"/>
    </row>
    <row r="11" spans="2:51" x14ac:dyDescent="0.25">
      <c r="Z11" s="72"/>
      <c r="AB11" s="72"/>
    </row>
    <row r="13" spans="2:51" x14ac:dyDescent="0.25">
      <c r="Z13" s="72"/>
      <c r="AB13" s="72"/>
    </row>
    <row r="14" spans="2:51" x14ac:dyDescent="0.25">
      <c r="AB14" s="72"/>
    </row>
    <row r="15" spans="2:51" x14ac:dyDescent="0.25">
      <c r="D15" s="55" t="s">
        <v>0</v>
      </c>
      <c r="E15" s="55"/>
      <c r="F15" s="55"/>
      <c r="H15" s="55"/>
      <c r="V15" s="49" t="s">
        <v>17</v>
      </c>
      <c r="W15" s="49"/>
      <c r="X15" s="50"/>
      <c r="Y15" s="50"/>
      <c r="Z15" s="50"/>
      <c r="AI15"/>
      <c r="AJ15" s="39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</row>
    <row r="16" spans="2:51" ht="24" customHeight="1" x14ac:dyDescent="0.25">
      <c r="B16" s="56" t="s">
        <v>1</v>
      </c>
      <c r="C16" s="56" t="s">
        <v>3</v>
      </c>
      <c r="D16" s="56" t="s">
        <v>4</v>
      </c>
      <c r="E16" s="57" t="s">
        <v>113</v>
      </c>
      <c r="F16" s="57" t="s">
        <v>16</v>
      </c>
      <c r="G16" s="57" t="s">
        <v>34</v>
      </c>
      <c r="H16" s="57" t="s">
        <v>47</v>
      </c>
      <c r="I16" s="57" t="s">
        <v>36</v>
      </c>
      <c r="J16" s="59" t="s">
        <v>5</v>
      </c>
      <c r="K16" s="59" t="s">
        <v>98</v>
      </c>
      <c r="L16" s="57" t="s">
        <v>56</v>
      </c>
      <c r="M16" s="59" t="s">
        <v>103</v>
      </c>
      <c r="N16" s="58" t="s">
        <v>112</v>
      </c>
      <c r="O16" s="59" t="s">
        <v>115</v>
      </c>
      <c r="P16" s="59" t="s">
        <v>116</v>
      </c>
      <c r="Q16" s="59" t="s">
        <v>117</v>
      </c>
      <c r="R16" s="59" t="s">
        <v>118</v>
      </c>
      <c r="S16" s="59" t="s">
        <v>126</v>
      </c>
      <c r="V16" s="51" t="s">
        <v>15</v>
      </c>
      <c r="W16" s="52" t="s">
        <v>42</v>
      </c>
      <c r="X16" s="51" t="s">
        <v>1</v>
      </c>
      <c r="Y16" s="51" t="s">
        <v>2</v>
      </c>
      <c r="Z16" s="51" t="s">
        <v>18</v>
      </c>
      <c r="AA16" s="51" t="s">
        <v>19</v>
      </c>
      <c r="AB16" s="51" t="s">
        <v>20</v>
      </c>
      <c r="AC16" s="51" t="s">
        <v>21</v>
      </c>
      <c r="AD16" s="51" t="s">
        <v>22</v>
      </c>
      <c r="AI16"/>
      <c r="AJ16" s="39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Y16" s="46"/>
    </row>
    <row r="17" spans="2:51" ht="31.8" thickBot="1" x14ac:dyDescent="0.3">
      <c r="B17" s="32" t="s">
        <v>48</v>
      </c>
      <c r="C17" s="32" t="s">
        <v>32</v>
      </c>
      <c r="D17" s="32" t="s">
        <v>33</v>
      </c>
      <c r="E17" s="32" t="s">
        <v>54</v>
      </c>
      <c r="F17" s="32" t="s">
        <v>35</v>
      </c>
      <c r="G17" s="33" t="s">
        <v>49</v>
      </c>
      <c r="H17" s="32" t="s">
        <v>57</v>
      </c>
      <c r="I17" s="32" t="s">
        <v>86</v>
      </c>
      <c r="J17" s="33" t="s">
        <v>37</v>
      </c>
      <c r="K17" s="33" t="s">
        <v>99</v>
      </c>
      <c r="L17" s="33" t="s">
        <v>80</v>
      </c>
      <c r="M17" s="33" t="s">
        <v>104</v>
      </c>
      <c r="N17" s="32" t="s">
        <v>85</v>
      </c>
      <c r="O17" s="33" t="s">
        <v>114</v>
      </c>
      <c r="P17" s="33" t="s">
        <v>114</v>
      </c>
      <c r="Q17" s="33" t="s">
        <v>114</v>
      </c>
      <c r="R17" s="70" t="s">
        <v>114</v>
      </c>
      <c r="S17" s="70" t="s">
        <v>127</v>
      </c>
      <c r="V17" s="31" t="s">
        <v>50</v>
      </c>
      <c r="W17" s="31" t="s">
        <v>44</v>
      </c>
      <c r="X17" s="31" t="s">
        <v>27</v>
      </c>
      <c r="Y17" s="31" t="s">
        <v>28</v>
      </c>
      <c r="Z17" s="31" t="s">
        <v>29</v>
      </c>
      <c r="AA17" s="31" t="s">
        <v>30</v>
      </c>
      <c r="AB17" s="31" t="s">
        <v>51</v>
      </c>
      <c r="AC17" s="31" t="s">
        <v>52</v>
      </c>
      <c r="AD17" s="31" t="s">
        <v>31</v>
      </c>
      <c r="AI17"/>
      <c r="AJ17" s="39"/>
      <c r="AY17" s="46"/>
    </row>
    <row r="18" spans="2:51" ht="33.75" customHeight="1" thickBot="1" x14ac:dyDescent="0.3">
      <c r="B18" s="34" t="s">
        <v>53</v>
      </c>
      <c r="C18" s="34"/>
      <c r="D18" s="34"/>
      <c r="E18" s="35"/>
      <c r="F18" s="35"/>
      <c r="G18" s="36"/>
      <c r="H18" s="35" t="s">
        <v>54</v>
      </c>
      <c r="I18" s="35" t="s">
        <v>111</v>
      </c>
      <c r="J18" s="35" t="s">
        <v>111</v>
      </c>
      <c r="K18" s="35" t="s">
        <v>134</v>
      </c>
      <c r="L18" s="36"/>
      <c r="M18" s="36" t="s">
        <v>105</v>
      </c>
      <c r="N18" s="35"/>
      <c r="O18" s="36"/>
      <c r="P18" s="36"/>
      <c r="Q18" s="36"/>
      <c r="R18" s="35"/>
      <c r="S18" s="71"/>
      <c r="V18" s="31" t="s">
        <v>81</v>
      </c>
      <c r="W18" s="31"/>
      <c r="X18" s="31"/>
      <c r="Y18" s="31"/>
      <c r="Z18" s="31"/>
      <c r="AA18" s="31" t="s">
        <v>87</v>
      </c>
      <c r="AB18" s="31" t="s">
        <v>88</v>
      </c>
      <c r="AC18" s="31"/>
      <c r="AD18" s="31"/>
      <c r="AI18"/>
      <c r="AJ18" s="39"/>
      <c r="AY18" s="46"/>
    </row>
    <row r="19" spans="2:51" s="80" customFormat="1" x14ac:dyDescent="0.25">
      <c r="B19" s="80" t="str">
        <f>X19</f>
        <v>Furnace</v>
      </c>
      <c r="C19" s="80" t="s">
        <v>69</v>
      </c>
      <c r="D19" s="81" t="s">
        <v>107</v>
      </c>
      <c r="E19" s="109">
        <v>2030</v>
      </c>
      <c r="F19" s="110">
        <v>1</v>
      </c>
      <c r="G19" s="110">
        <v>1</v>
      </c>
      <c r="H19" s="109">
        <v>25</v>
      </c>
      <c r="I19" s="110">
        <v>81</v>
      </c>
      <c r="J19" s="110">
        <v>0</v>
      </c>
      <c r="K19" s="110">
        <v>0.24</v>
      </c>
      <c r="L19" s="110">
        <v>8.76</v>
      </c>
      <c r="M19" s="109"/>
      <c r="N19" s="110">
        <v>0.1</v>
      </c>
      <c r="O19" s="110">
        <v>0.15</v>
      </c>
      <c r="P19" s="110">
        <v>0.2</v>
      </c>
      <c r="Q19" s="110">
        <v>0.25</v>
      </c>
      <c r="R19" s="110">
        <v>0.35</v>
      </c>
      <c r="S19" s="109"/>
      <c r="T19" s="82"/>
      <c r="U19" s="82"/>
      <c r="V19" s="83" t="s">
        <v>139</v>
      </c>
      <c r="W19" s="83"/>
      <c r="X19" s="84" t="s">
        <v>66</v>
      </c>
      <c r="Y19" s="85" t="s">
        <v>140</v>
      </c>
      <c r="Z19" s="80" t="s">
        <v>58</v>
      </c>
      <c r="AA19" s="80" t="s">
        <v>87</v>
      </c>
      <c r="AB19" s="86" t="s">
        <v>88</v>
      </c>
      <c r="AC19" s="82"/>
      <c r="AD19" s="82"/>
      <c r="AI19" s="87"/>
      <c r="AJ19" s="88"/>
      <c r="AY19" s="82"/>
    </row>
    <row r="20" spans="2:51" s="72" customFormat="1" x14ac:dyDescent="0.25">
      <c r="B20" s="72" t="str">
        <f>X$20</f>
        <v>BIOBoiler</v>
      </c>
      <c r="C20" s="72" t="str">
        <f>PRI_Sector_Fuels!P5</f>
        <v>MANBIOMIN</v>
      </c>
      <c r="D20" s="78" t="str">
        <f>X9</f>
        <v>DECRHEAT</v>
      </c>
      <c r="E20" s="111">
        <v>2030</v>
      </c>
      <c r="F20" s="112">
        <v>0.7</v>
      </c>
      <c r="G20" s="112">
        <v>0.98</v>
      </c>
      <c r="H20" s="111">
        <v>25</v>
      </c>
      <c r="I20" s="112">
        <v>797.9</v>
      </c>
      <c r="J20" s="112">
        <v>48.48</v>
      </c>
      <c r="K20" s="112">
        <v>3.75</v>
      </c>
      <c r="L20" s="112">
        <v>8.76</v>
      </c>
      <c r="M20" s="111"/>
      <c r="N20" s="113"/>
      <c r="O20" s="111"/>
      <c r="P20" s="111"/>
      <c r="Q20" s="111"/>
      <c r="R20" s="111"/>
      <c r="S20" s="111"/>
      <c r="T20" s="89"/>
      <c r="U20" s="89"/>
      <c r="V20" s="79" t="s">
        <v>139</v>
      </c>
      <c r="W20" s="79"/>
      <c r="X20" s="90" t="s">
        <v>94</v>
      </c>
      <c r="Y20" s="91" t="s">
        <v>141</v>
      </c>
      <c r="Z20" s="72" t="s">
        <v>58</v>
      </c>
      <c r="AA20" s="72" t="s">
        <v>87</v>
      </c>
      <c r="AB20" s="92" t="s">
        <v>88</v>
      </c>
      <c r="AC20" s="89"/>
      <c r="AD20" s="89"/>
      <c r="AI20" s="14"/>
      <c r="AJ20" s="12"/>
      <c r="AY20" s="89"/>
    </row>
    <row r="21" spans="2:51" s="80" customFormat="1" x14ac:dyDescent="0.25">
      <c r="B21" s="80" t="str">
        <f>X23</f>
        <v>ELCBoiler</v>
      </c>
      <c r="C21" s="80" t="s">
        <v>69</v>
      </c>
      <c r="D21" s="81" t="s">
        <v>107</v>
      </c>
      <c r="E21" s="109">
        <v>2030</v>
      </c>
      <c r="F21" s="110">
        <v>0.99</v>
      </c>
      <c r="G21" s="110">
        <v>1</v>
      </c>
      <c r="H21" s="109">
        <v>25</v>
      </c>
      <c r="I21" s="110">
        <v>112.9</v>
      </c>
      <c r="J21" s="110">
        <v>14.26</v>
      </c>
      <c r="K21" s="110">
        <v>1.22</v>
      </c>
      <c r="L21" s="110">
        <v>8.76</v>
      </c>
      <c r="M21" s="109"/>
      <c r="N21" s="114"/>
      <c r="O21" s="114"/>
      <c r="P21" s="114"/>
      <c r="Q21" s="114"/>
      <c r="R21" s="114"/>
      <c r="S21" s="109"/>
      <c r="T21" s="82"/>
      <c r="U21" s="82"/>
      <c r="V21" s="83" t="s">
        <v>128</v>
      </c>
      <c r="W21" s="83"/>
      <c r="X21" s="84" t="s">
        <v>95</v>
      </c>
      <c r="Y21" s="85" t="s">
        <v>142</v>
      </c>
      <c r="Z21" s="80" t="s">
        <v>58</v>
      </c>
      <c r="AA21" s="80" t="s">
        <v>87</v>
      </c>
      <c r="AB21" s="86" t="s">
        <v>88</v>
      </c>
      <c r="AC21" s="82"/>
      <c r="AD21" s="82"/>
      <c r="AI21" s="87"/>
      <c r="AJ21" s="88"/>
      <c r="AY21" s="82"/>
    </row>
    <row r="22" spans="2:51" s="46" customFormat="1" x14ac:dyDescent="0.25">
      <c r="B22" s="45" t="str">
        <f>X21</f>
        <v>BIOKiln</v>
      </c>
      <c r="C22" s="45" t="str">
        <f>PRI_Sector_Fuels!P5</f>
        <v>MANBIOMIN</v>
      </c>
      <c r="D22" s="50" t="s">
        <v>108</v>
      </c>
      <c r="E22" s="115">
        <v>2030</v>
      </c>
      <c r="F22" s="116">
        <v>0.55600000000000005</v>
      </c>
      <c r="G22" s="116">
        <v>0.98</v>
      </c>
      <c r="H22" s="115">
        <v>25</v>
      </c>
      <c r="I22" s="116">
        <v>297.10000000000002</v>
      </c>
      <c r="J22" s="116">
        <v>4.46</v>
      </c>
      <c r="K22" s="116">
        <v>0.45</v>
      </c>
      <c r="L22" s="116">
        <v>8.76</v>
      </c>
      <c r="M22" s="115"/>
      <c r="N22" s="116">
        <v>0.1</v>
      </c>
      <c r="O22" s="116">
        <v>0.15</v>
      </c>
      <c r="P22" s="116">
        <v>0.2</v>
      </c>
      <c r="Q22" s="116">
        <v>0.25</v>
      </c>
      <c r="R22" s="116">
        <v>0.35</v>
      </c>
      <c r="S22" s="115"/>
      <c r="V22" s="60" t="s">
        <v>128</v>
      </c>
      <c r="W22" s="60"/>
      <c r="X22" s="61" t="s">
        <v>96</v>
      </c>
      <c r="Y22" s="62" t="s">
        <v>143</v>
      </c>
      <c r="Z22" s="45" t="s">
        <v>58</v>
      </c>
      <c r="AA22" s="45" t="s">
        <v>87</v>
      </c>
      <c r="AB22" s="63" t="s">
        <v>88</v>
      </c>
      <c r="AI22"/>
      <c r="AJ22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5"/>
      <c r="AW22" s="45"/>
    </row>
    <row r="23" spans="2:51" s="46" customFormat="1" x14ac:dyDescent="0.25">
      <c r="B23" s="50" t="str">
        <f>X22</f>
        <v>GASBoiler</v>
      </c>
      <c r="C23" s="45" t="str">
        <f>PRI_Sector_Fuels!P6</f>
        <v>MANGASMIN</v>
      </c>
      <c r="D23" s="50" t="s">
        <v>107</v>
      </c>
      <c r="E23" s="115">
        <v>2030</v>
      </c>
      <c r="F23" s="116">
        <v>0.75</v>
      </c>
      <c r="G23" s="116">
        <v>0.99</v>
      </c>
      <c r="H23" s="115">
        <v>25</v>
      </c>
      <c r="I23" s="116">
        <v>61.4</v>
      </c>
      <c r="J23" s="116">
        <v>2.57</v>
      </c>
      <c r="K23" s="116">
        <v>1.35</v>
      </c>
      <c r="L23" s="116">
        <v>8.76</v>
      </c>
      <c r="M23" s="115"/>
      <c r="N23" s="117"/>
      <c r="O23" s="115"/>
      <c r="P23" s="115"/>
      <c r="Q23" s="115"/>
      <c r="R23" s="115"/>
      <c r="S23" s="115"/>
      <c r="V23" s="60" t="s">
        <v>139</v>
      </c>
      <c r="W23" s="60"/>
      <c r="X23" s="61" t="s">
        <v>97</v>
      </c>
      <c r="Y23" s="62" t="s">
        <v>144</v>
      </c>
      <c r="Z23" s="45" t="s">
        <v>58</v>
      </c>
      <c r="AA23" s="45" t="s">
        <v>87</v>
      </c>
      <c r="AB23" s="63" t="s">
        <v>88</v>
      </c>
      <c r="AI23"/>
      <c r="AJ23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</row>
    <row r="24" spans="2:51" s="46" customFormat="1" x14ac:dyDescent="0.25">
      <c r="B24" s="50" t="str">
        <f>X25</f>
        <v>WNDTRBN</v>
      </c>
      <c r="C24" s="45" t="str">
        <f>PRI_Sector_Fuels!D19</f>
        <v>WIND</v>
      </c>
      <c r="D24" s="50" t="s">
        <v>130</v>
      </c>
      <c r="E24" s="115">
        <v>2030</v>
      </c>
      <c r="F24" s="112">
        <v>1</v>
      </c>
      <c r="G24" s="116">
        <v>0.97</v>
      </c>
      <c r="H24" s="115">
        <v>25</v>
      </c>
      <c r="I24" s="116">
        <v>1041</v>
      </c>
      <c r="J24" s="116">
        <v>38</v>
      </c>
      <c r="K24" s="116">
        <v>0</v>
      </c>
      <c r="L24" s="116">
        <v>8.76</v>
      </c>
      <c r="M24" s="117"/>
      <c r="N24" s="117"/>
      <c r="O24" s="116"/>
      <c r="P24" s="116"/>
      <c r="Q24" s="116"/>
      <c r="R24" s="117"/>
      <c r="S24" s="115">
        <v>0.2</v>
      </c>
      <c r="V24" s="60" t="s">
        <v>139</v>
      </c>
      <c r="W24" s="60"/>
      <c r="X24" s="61" t="s">
        <v>65</v>
      </c>
      <c r="Y24" s="62" t="s">
        <v>145</v>
      </c>
      <c r="Z24" s="45" t="s">
        <v>58</v>
      </c>
      <c r="AA24" s="45" t="s">
        <v>87</v>
      </c>
      <c r="AB24" s="46" t="s">
        <v>88</v>
      </c>
      <c r="AI24"/>
      <c r="AJ24"/>
      <c r="AK24" s="72"/>
      <c r="AL24" s="72"/>
      <c r="AM24" s="72"/>
      <c r="AN24" s="72"/>
      <c r="AO24" s="72"/>
      <c r="AP24" s="72"/>
      <c r="AQ24" s="72"/>
      <c r="AR24" s="72"/>
      <c r="AS24" s="72"/>
      <c r="AT24" s="72"/>
      <c r="AU24" s="72"/>
      <c r="AV24" s="72"/>
      <c r="AW24" s="72"/>
    </row>
    <row r="25" spans="2:51" s="46" customFormat="1" x14ac:dyDescent="0.25">
      <c r="B25" s="50" t="str">
        <f>X26</f>
        <v>SOLPV</v>
      </c>
      <c r="C25" s="45" t="str">
        <f>PRI_Sector_Fuels!D20</f>
        <v>SOLAR</v>
      </c>
      <c r="D25" s="50" t="s">
        <v>131</v>
      </c>
      <c r="E25" s="115">
        <v>2030</v>
      </c>
      <c r="F25" s="112">
        <v>0.20499999999999999</v>
      </c>
      <c r="G25" s="116">
        <v>0.99</v>
      </c>
      <c r="H25" s="115">
        <v>25</v>
      </c>
      <c r="I25" s="116">
        <v>691</v>
      </c>
      <c r="J25" s="116">
        <v>6.99</v>
      </c>
      <c r="K25" s="116">
        <v>0</v>
      </c>
      <c r="L25" s="116">
        <v>8.76</v>
      </c>
      <c r="M25" s="117"/>
      <c r="N25" s="117"/>
      <c r="O25" s="116"/>
      <c r="P25" s="116"/>
      <c r="Q25" s="116"/>
      <c r="R25" s="117"/>
      <c r="S25" s="115">
        <v>0.3</v>
      </c>
      <c r="V25" s="60" t="s">
        <v>69</v>
      </c>
      <c r="W25" s="60"/>
      <c r="X25" s="61" t="s">
        <v>89</v>
      </c>
      <c r="Y25" s="62" t="s">
        <v>146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89" customFormat="1" x14ac:dyDescent="0.25">
      <c r="B26" s="78" t="str">
        <f>X24</f>
        <v>CSP</v>
      </c>
      <c r="C26" s="72" t="str">
        <f>PRI_Sector_Fuels!D20</f>
        <v>SOLAR</v>
      </c>
      <c r="D26" s="78" t="str">
        <f>X9</f>
        <v>DECRHEAT</v>
      </c>
      <c r="E26" s="111">
        <v>2030</v>
      </c>
      <c r="F26" s="112">
        <v>0.4</v>
      </c>
      <c r="G26" s="112">
        <v>1</v>
      </c>
      <c r="H26" s="111">
        <v>25</v>
      </c>
      <c r="I26" s="112">
        <v>3677</v>
      </c>
      <c r="J26" s="112">
        <v>0</v>
      </c>
      <c r="K26" s="112">
        <v>14</v>
      </c>
      <c r="L26" s="112">
        <v>8.76</v>
      </c>
      <c r="M26" s="113"/>
      <c r="N26" s="113"/>
      <c r="O26" s="112"/>
      <c r="P26" s="112"/>
      <c r="Q26" s="112"/>
      <c r="R26" s="113"/>
      <c r="S26" s="111"/>
      <c r="V26" s="79" t="s">
        <v>69</v>
      </c>
      <c r="W26" s="79"/>
      <c r="X26" s="90" t="s">
        <v>90</v>
      </c>
      <c r="Y26" s="91" t="s">
        <v>147</v>
      </c>
      <c r="Z26" s="72" t="s">
        <v>58</v>
      </c>
      <c r="AA26" s="72" t="s">
        <v>87</v>
      </c>
      <c r="AB26" s="89" t="s">
        <v>88</v>
      </c>
      <c r="AI26" s="14"/>
      <c r="AJ26" s="14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</row>
    <row r="27" spans="2:51" s="46" customFormat="1" x14ac:dyDescent="0.25">
      <c r="B27" s="50" t="str">
        <f>X22</f>
        <v>GASBoiler</v>
      </c>
      <c r="C27" s="45"/>
      <c r="D27" s="50" t="s">
        <v>106</v>
      </c>
      <c r="E27" s="115">
        <v>2030</v>
      </c>
      <c r="F27" s="112">
        <v>0.3</v>
      </c>
      <c r="G27" s="116">
        <v>1</v>
      </c>
      <c r="H27" s="115">
        <v>25</v>
      </c>
      <c r="I27" s="116">
        <v>0</v>
      </c>
      <c r="J27" s="116">
        <v>0</v>
      </c>
      <c r="K27" s="116">
        <v>0</v>
      </c>
      <c r="L27" s="116">
        <v>8.76</v>
      </c>
      <c r="M27" s="117"/>
      <c r="N27" s="117"/>
      <c r="O27" s="116"/>
      <c r="P27" s="116"/>
      <c r="Q27" s="116"/>
      <c r="R27" s="117"/>
      <c r="S27" s="115"/>
      <c r="V27" s="60" t="s">
        <v>69</v>
      </c>
      <c r="W27" s="60"/>
      <c r="X27" s="61" t="s">
        <v>151</v>
      </c>
      <c r="Y27" s="62" t="s">
        <v>148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94" customFormat="1" x14ac:dyDescent="0.25">
      <c r="B28" s="93" t="str">
        <f>X27</f>
        <v>DECPOWER</v>
      </c>
      <c r="C28" s="93" t="s">
        <v>130</v>
      </c>
      <c r="D28" s="93" t="str">
        <f>X8</f>
        <v>DECELC</v>
      </c>
      <c r="E28" s="118">
        <v>2030</v>
      </c>
      <c r="F28" s="119">
        <v>1</v>
      </c>
      <c r="G28" s="119">
        <v>1</v>
      </c>
      <c r="H28" s="118">
        <v>100</v>
      </c>
      <c r="I28" s="120">
        <v>0</v>
      </c>
      <c r="J28" s="119">
        <v>0</v>
      </c>
      <c r="K28" s="119">
        <v>0</v>
      </c>
      <c r="L28" s="120">
        <v>8.76</v>
      </c>
      <c r="M28" s="121"/>
      <c r="N28" s="121"/>
      <c r="O28" s="120"/>
      <c r="P28" s="120"/>
      <c r="Q28" s="120"/>
      <c r="R28" s="121"/>
      <c r="S28" s="118"/>
      <c r="V28" s="96" t="s">
        <v>69</v>
      </c>
      <c r="W28" s="96"/>
      <c r="X28" s="97" t="s">
        <v>137</v>
      </c>
      <c r="Y28" s="98" t="s">
        <v>149</v>
      </c>
      <c r="Z28" s="95" t="s">
        <v>58</v>
      </c>
      <c r="AA28" s="45" t="s">
        <v>87</v>
      </c>
      <c r="AB28" s="46" t="s">
        <v>88</v>
      </c>
      <c r="AI28" s="99"/>
      <c r="AJ28" s="99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</row>
    <row r="29" spans="2:51" s="94" customFormat="1" x14ac:dyDescent="0.25">
      <c r="B29" s="93" t="str">
        <f>X27</f>
        <v>DECPOWER</v>
      </c>
      <c r="C29" s="93" t="s">
        <v>131</v>
      </c>
      <c r="D29" s="93" t="str">
        <f>X8</f>
        <v>DECELC</v>
      </c>
      <c r="E29" s="118">
        <v>2030</v>
      </c>
      <c r="F29" s="119">
        <v>1</v>
      </c>
      <c r="G29" s="119">
        <v>1</v>
      </c>
      <c r="H29" s="118">
        <v>100</v>
      </c>
      <c r="I29" s="120">
        <v>0</v>
      </c>
      <c r="J29" s="119">
        <v>0</v>
      </c>
      <c r="K29" s="119">
        <v>0</v>
      </c>
      <c r="L29" s="120">
        <v>8.76</v>
      </c>
      <c r="M29" s="121"/>
      <c r="N29" s="121"/>
      <c r="O29" s="120"/>
      <c r="P29" s="120"/>
      <c r="Q29" s="120"/>
      <c r="R29" s="121"/>
      <c r="S29" s="118"/>
      <c r="V29" s="94" t="s">
        <v>69</v>
      </c>
      <c r="X29" s="94" t="s">
        <v>154</v>
      </c>
      <c r="Y29" s="94" t="s">
        <v>155</v>
      </c>
      <c r="Z29" s="95" t="s">
        <v>58</v>
      </c>
      <c r="AA29" s="95" t="s">
        <v>87</v>
      </c>
      <c r="AB29" s="94" t="s">
        <v>88</v>
      </c>
      <c r="AC29" s="46"/>
      <c r="AI29" s="99"/>
      <c r="AJ29" s="99"/>
      <c r="AK29" s="95"/>
      <c r="AL29" s="95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</row>
    <row r="30" spans="2:51" s="46" customFormat="1" x14ac:dyDescent="0.25">
      <c r="B30" s="50" t="str">
        <f>X28</f>
        <v>BIOPOWER</v>
      </c>
      <c r="C30" s="50" t="s">
        <v>68</v>
      </c>
      <c r="D30" s="50" t="s">
        <v>135</v>
      </c>
      <c r="E30" s="115">
        <v>2030</v>
      </c>
      <c r="F30" s="122">
        <v>0.35</v>
      </c>
      <c r="G30" s="122">
        <v>0.98</v>
      </c>
      <c r="H30" s="115">
        <v>20</v>
      </c>
      <c r="I30" s="123">
        <v>3242</v>
      </c>
      <c r="J30" s="116">
        <v>129.68</v>
      </c>
      <c r="K30" s="116">
        <v>0</v>
      </c>
      <c r="L30" s="116">
        <v>8.76</v>
      </c>
      <c r="M30" s="117"/>
      <c r="N30" s="117"/>
      <c r="O30" s="116"/>
      <c r="P30" s="116"/>
      <c r="Q30" s="116"/>
      <c r="R30" s="117"/>
      <c r="S30" s="115"/>
      <c r="V30" s="46" t="s">
        <v>128</v>
      </c>
      <c r="X30" s="46" t="s">
        <v>157</v>
      </c>
      <c r="Y30" s="46" t="s">
        <v>156</v>
      </c>
      <c r="Z30" s="95" t="s">
        <v>58</v>
      </c>
      <c r="AA30" s="95" t="s">
        <v>87</v>
      </c>
      <c r="AB30" s="94" t="s">
        <v>88</v>
      </c>
      <c r="AC30" s="94"/>
      <c r="AI30" s="38"/>
      <c r="AJ30" s="38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</row>
    <row r="31" spans="2:51" s="94" customFormat="1" x14ac:dyDescent="0.25">
      <c r="B31" s="50" t="str">
        <f>X27</f>
        <v>DECPOWER</v>
      </c>
      <c r="C31" s="95" t="s">
        <v>135</v>
      </c>
      <c r="D31" s="93" t="str">
        <f>X8</f>
        <v>DECELC</v>
      </c>
      <c r="E31" s="118">
        <v>2030</v>
      </c>
      <c r="F31" s="120">
        <v>1</v>
      </c>
      <c r="G31" s="120">
        <v>1</v>
      </c>
      <c r="H31" s="119">
        <v>100</v>
      </c>
      <c r="I31" s="119">
        <v>0</v>
      </c>
      <c r="J31" s="119">
        <v>0</v>
      </c>
      <c r="K31" s="119">
        <v>0</v>
      </c>
      <c r="L31" s="119">
        <v>0</v>
      </c>
      <c r="M31" s="121"/>
      <c r="N31" s="121"/>
      <c r="O31" s="120"/>
      <c r="P31" s="120"/>
      <c r="Q31" s="120"/>
      <c r="R31" s="121"/>
      <c r="S31" s="118"/>
      <c r="V31" s="46"/>
      <c r="W31" s="46"/>
      <c r="X31" s="46"/>
      <c r="Y31" s="46"/>
      <c r="Z31" s="95"/>
      <c r="AD31" s="46"/>
      <c r="AI31" s="99"/>
      <c r="AJ31" s="99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</row>
    <row r="32" spans="2:51" s="94" customFormat="1" x14ac:dyDescent="0.25">
      <c r="B32" s="50" t="str">
        <f>X29</f>
        <v>ELC_AGG</v>
      </c>
      <c r="C32" s="93" t="str">
        <f>X8</f>
        <v>DECELC</v>
      </c>
      <c r="D32" s="93" t="s">
        <v>69</v>
      </c>
      <c r="E32" s="118">
        <v>2030</v>
      </c>
      <c r="F32" s="120">
        <v>1</v>
      </c>
      <c r="G32" s="120">
        <v>1</v>
      </c>
      <c r="H32" s="119">
        <v>100</v>
      </c>
      <c r="I32" s="119">
        <v>0</v>
      </c>
      <c r="J32" s="119">
        <v>0</v>
      </c>
      <c r="K32" s="119">
        <v>0</v>
      </c>
      <c r="L32" s="119">
        <v>0</v>
      </c>
      <c r="M32" s="121"/>
      <c r="N32" s="121"/>
      <c r="O32" s="120"/>
      <c r="P32" s="120"/>
      <c r="Q32" s="120"/>
      <c r="R32" s="121"/>
      <c r="S32" s="118"/>
      <c r="AD32" s="46"/>
      <c r="AI32" s="99"/>
      <c r="AJ32" s="99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</row>
    <row r="33" spans="1:49" s="94" customFormat="1" x14ac:dyDescent="0.25">
      <c r="B33" s="93" t="str">
        <f>X30</f>
        <v>DECTHT</v>
      </c>
      <c r="C33" s="93" t="str">
        <f>X9</f>
        <v>DECRHEAT</v>
      </c>
      <c r="D33" s="93" t="s">
        <v>107</v>
      </c>
      <c r="E33" s="118">
        <v>2030</v>
      </c>
      <c r="F33" s="120">
        <v>1</v>
      </c>
      <c r="G33" s="120">
        <v>1</v>
      </c>
      <c r="H33" s="119">
        <v>100</v>
      </c>
      <c r="I33" s="119">
        <v>0</v>
      </c>
      <c r="J33" s="119">
        <v>0</v>
      </c>
      <c r="K33" s="119">
        <v>0</v>
      </c>
      <c r="L33" s="119">
        <v>0</v>
      </c>
      <c r="M33" s="121"/>
      <c r="N33" s="121"/>
      <c r="O33" s="120"/>
      <c r="P33" s="120"/>
      <c r="Q33" s="120"/>
      <c r="R33" s="121"/>
      <c r="S33" s="118"/>
      <c r="AD33" s="46"/>
      <c r="AI33" s="99"/>
      <c r="AJ33" s="99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</row>
    <row r="34" spans="1:49" s="94" customFormat="1" x14ac:dyDescent="0.25">
      <c r="B34" s="93"/>
      <c r="C34" s="95"/>
      <c r="D34" s="93"/>
      <c r="E34" s="124"/>
      <c r="F34" s="125"/>
      <c r="G34" s="125"/>
      <c r="M34" s="126"/>
      <c r="N34" s="126"/>
      <c r="O34" s="125"/>
      <c r="P34" s="125"/>
      <c r="Q34" s="125"/>
      <c r="R34" s="126"/>
      <c r="S34" s="124"/>
      <c r="AD34" s="46"/>
      <c r="AI34" s="99"/>
      <c r="AJ34" s="99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</row>
    <row r="35" spans="1:49" s="94" customFormat="1" x14ac:dyDescent="0.25">
      <c r="B35" s="93"/>
      <c r="C35" s="95"/>
      <c r="D35" s="93"/>
      <c r="E35" s="124"/>
      <c r="F35" s="125"/>
      <c r="G35" s="125"/>
      <c r="M35" s="126"/>
      <c r="N35" s="126"/>
      <c r="O35" s="125"/>
      <c r="P35" s="125"/>
      <c r="Q35" s="125"/>
      <c r="R35" s="126"/>
      <c r="S35" s="124"/>
      <c r="AD35" s="95"/>
      <c r="AI35" s="99"/>
      <c r="AJ35" s="99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</row>
    <row r="36" spans="1:49" s="94" customFormat="1" x14ac:dyDescent="0.25">
      <c r="B36" s="93"/>
      <c r="C36" s="93"/>
      <c r="D36" s="93"/>
      <c r="E36" s="124"/>
      <c r="F36" s="125"/>
      <c r="G36" s="125"/>
      <c r="M36" s="126"/>
      <c r="N36" s="126"/>
      <c r="O36" s="125"/>
      <c r="P36" s="125"/>
      <c r="Q36" s="125"/>
      <c r="R36" s="126"/>
      <c r="S36" s="124"/>
      <c r="AA36" s="38"/>
      <c r="AB36" s="38"/>
      <c r="AC36" s="95"/>
      <c r="AD36" s="95"/>
      <c r="AI36" s="99"/>
      <c r="AJ36" s="99"/>
      <c r="AK36" s="95"/>
      <c r="AL36" s="95"/>
      <c r="AM36" s="95"/>
      <c r="AN36" s="95"/>
      <c r="AO36" s="95"/>
      <c r="AP36" s="95"/>
      <c r="AQ36" s="95"/>
      <c r="AR36" s="95"/>
      <c r="AS36" s="95"/>
      <c r="AT36" s="95"/>
      <c r="AU36" s="95"/>
      <c r="AV36" s="95"/>
      <c r="AW36" s="95"/>
    </row>
    <row r="37" spans="1:49" s="94" customFormat="1" x14ac:dyDescent="0.25">
      <c r="B37" s="93"/>
      <c r="C37" s="93"/>
      <c r="D37" s="93"/>
      <c r="E37" s="124"/>
      <c r="F37" s="125"/>
      <c r="G37" s="125"/>
      <c r="H37" s="124"/>
      <c r="I37" s="125"/>
      <c r="J37" s="125"/>
      <c r="K37" s="125"/>
      <c r="L37" s="125"/>
      <c r="M37" s="126"/>
      <c r="N37" s="126"/>
      <c r="O37" s="125"/>
      <c r="P37" s="125"/>
      <c r="Q37" s="125"/>
      <c r="R37" s="126"/>
      <c r="S37" s="124"/>
      <c r="V37" s="45"/>
      <c r="W37" s="45"/>
      <c r="X37" s="45"/>
      <c r="Y37" s="45"/>
      <c r="Z37" s="50"/>
      <c r="AA37" s="102"/>
      <c r="AB37" s="104"/>
      <c r="AC37" s="45"/>
      <c r="AD37" s="45"/>
      <c r="AI37" s="99"/>
      <c r="AJ37" s="99"/>
      <c r="AK37" s="107"/>
      <c r="AL37" s="107"/>
      <c r="AM37" s="95"/>
      <c r="AN37" s="95"/>
      <c r="AO37" s="95"/>
      <c r="AQ37" s="99"/>
      <c r="AR37" s="99"/>
      <c r="AS37" s="107"/>
      <c r="AT37" s="107"/>
      <c r="AU37" s="95"/>
      <c r="AV37" s="95"/>
    </row>
    <row r="38" spans="1:49" s="46" customFormat="1" x14ac:dyDescent="0.25">
      <c r="B38" s="5"/>
      <c r="C38" s="50"/>
      <c r="D38" s="50"/>
      <c r="E38" s="127"/>
      <c r="F38" s="128"/>
      <c r="G38" s="129"/>
      <c r="M38" s="127"/>
      <c r="N38" s="130"/>
      <c r="O38" s="127"/>
      <c r="P38" s="127"/>
      <c r="Q38" s="127"/>
      <c r="R38" s="127"/>
      <c r="S38" s="127"/>
      <c r="V38" s="101"/>
      <c r="W38" s="100"/>
      <c r="X38" s="101"/>
      <c r="Y38" s="100"/>
      <c r="Z38" s="103"/>
      <c r="AA38" s="95"/>
      <c r="AB38" s="94"/>
      <c r="AC38" s="94"/>
      <c r="AD38" s="101"/>
      <c r="AI38"/>
      <c r="AJ38"/>
      <c r="AK38" s="39"/>
      <c r="AL38" s="39"/>
      <c r="AM38" s="45"/>
      <c r="AN38" s="45"/>
      <c r="AO38" s="45"/>
      <c r="AQ38"/>
      <c r="AR38"/>
      <c r="AS38" s="39"/>
      <c r="AT38" s="39"/>
      <c r="AU38" s="45"/>
      <c r="AV38" s="45"/>
    </row>
    <row r="39" spans="1:49" s="100" customFormat="1" x14ac:dyDescent="0.25">
      <c r="B39" s="101"/>
      <c r="C39" s="102"/>
      <c r="D39" s="102"/>
      <c r="E39" s="131"/>
      <c r="F39" s="132"/>
      <c r="G39" s="132"/>
      <c r="H39" s="131"/>
      <c r="I39" s="132"/>
      <c r="J39" s="132"/>
      <c r="K39" s="132"/>
      <c r="L39" s="132"/>
      <c r="N39" s="133"/>
      <c r="V39" s="46"/>
      <c r="W39" s="46"/>
      <c r="X39" s="46"/>
      <c r="Y39" s="46"/>
      <c r="Z39" s="95"/>
      <c r="AA39" s="95"/>
      <c r="AB39" s="94"/>
      <c r="AC39" s="46"/>
      <c r="AD39" s="95"/>
      <c r="AI39" s="105"/>
      <c r="AJ39" s="105"/>
      <c r="AK39" s="106"/>
      <c r="AL39" s="106"/>
      <c r="AM39" s="101"/>
      <c r="AN39" s="101"/>
      <c r="AO39" s="101"/>
      <c r="AQ39" s="105"/>
      <c r="AR39" s="105"/>
      <c r="AS39" s="106"/>
      <c r="AT39" s="106"/>
      <c r="AU39" s="101"/>
      <c r="AV39" s="101"/>
    </row>
    <row r="40" spans="1:49" s="94" customFormat="1" x14ac:dyDescent="0.25">
      <c r="B40" s="95"/>
      <c r="C40" s="93"/>
      <c r="D40" s="93"/>
      <c r="E40" s="124"/>
      <c r="F40" s="125"/>
      <c r="G40" s="125"/>
      <c r="H40" s="124"/>
      <c r="I40" s="125"/>
      <c r="J40" s="125"/>
      <c r="K40" s="125"/>
      <c r="L40" s="125"/>
      <c r="N40" s="134"/>
      <c r="V40" s="45"/>
      <c r="W40" s="45"/>
      <c r="X40" s="45"/>
      <c r="Y40" s="45"/>
      <c r="Z40" s="95"/>
      <c r="AA40" s="95"/>
      <c r="AC40" s="95"/>
      <c r="AD40" s="45"/>
      <c r="AI40" s="99"/>
      <c r="AJ40" s="99"/>
      <c r="AK40" s="107"/>
      <c r="AL40" s="107"/>
      <c r="AM40" s="95"/>
      <c r="AN40" s="95"/>
      <c r="AO40" s="95"/>
      <c r="AQ40" s="99"/>
      <c r="AR40" s="99"/>
      <c r="AS40" s="107"/>
      <c r="AT40" s="107"/>
      <c r="AU40" s="95"/>
      <c r="AV40" s="95"/>
    </row>
    <row r="41" spans="1:49" s="46" customFormat="1" x14ac:dyDescent="0.25">
      <c r="B41" s="45"/>
      <c r="C41" s="50"/>
      <c r="D41" s="50"/>
      <c r="E41" s="127"/>
      <c r="F41" s="128"/>
      <c r="G41" s="129"/>
      <c r="N41" s="135"/>
      <c r="V41" s="99"/>
      <c r="W41" s="99"/>
      <c r="X41" s="95"/>
      <c r="Y41" s="108"/>
      <c r="Z41" s="95"/>
      <c r="AA41" s="95"/>
      <c r="AB41" s="94"/>
      <c r="AC41" s="95"/>
      <c r="AD41" s="45"/>
      <c r="AI41"/>
      <c r="AJ41"/>
      <c r="AK41" s="39"/>
      <c r="AL41" s="39"/>
      <c r="AM41" s="45"/>
      <c r="AN41" s="45"/>
      <c r="AO41" s="45"/>
      <c r="AQ41"/>
      <c r="AR41"/>
      <c r="AS41" s="39"/>
      <c r="AT41" s="39"/>
      <c r="AU41" s="45"/>
      <c r="AV41" s="45"/>
    </row>
    <row r="42" spans="1:49" s="46" customFormat="1" x14ac:dyDescent="0.25">
      <c r="B42" s="50"/>
      <c r="C42" s="50"/>
      <c r="D42" s="50"/>
      <c r="E42" s="127"/>
      <c r="F42" s="128"/>
      <c r="G42" s="129"/>
      <c r="V42" s="99"/>
      <c r="W42" s="99"/>
      <c r="X42" s="95"/>
      <c r="Y42" s="108"/>
      <c r="Z42" s="95"/>
      <c r="AA42" s="95"/>
      <c r="AB42" s="94"/>
      <c r="AC42" s="95"/>
      <c r="AD42" s="45"/>
      <c r="AE42" s="45"/>
      <c r="AI42"/>
      <c r="AJ42"/>
      <c r="AK42" s="39"/>
      <c r="AL42" s="39"/>
      <c r="AM42" s="45"/>
      <c r="AN42" s="45"/>
      <c r="AO42" s="45"/>
      <c r="AQ42"/>
      <c r="AR42"/>
      <c r="AS42" s="39"/>
      <c r="AT42" s="39"/>
      <c r="AU42" s="45"/>
      <c r="AV42" s="45"/>
    </row>
    <row r="43" spans="1:49" s="46" customFormat="1" x14ac:dyDescent="0.25">
      <c r="B43" s="50"/>
      <c r="C43" s="50"/>
      <c r="D43" s="50"/>
      <c r="E43" s="127"/>
      <c r="F43" s="128"/>
      <c r="G43" s="129"/>
      <c r="V43" s="99"/>
      <c r="W43" s="99"/>
      <c r="X43" s="95"/>
      <c r="Y43" s="108"/>
      <c r="Z43" s="95"/>
      <c r="AA43" s="95"/>
      <c r="AB43" s="94"/>
      <c r="AC43" s="95"/>
      <c r="AD43" s="45"/>
      <c r="AE43" s="45"/>
      <c r="AI43"/>
      <c r="AJ43"/>
      <c r="AK43" s="39"/>
      <c r="AL43" s="39"/>
      <c r="AM43" s="45"/>
      <c r="AN43" s="45"/>
      <c r="AO43" s="45"/>
      <c r="AQ43"/>
      <c r="AR43"/>
      <c r="AS43" s="39"/>
      <c r="AT43" s="39"/>
      <c r="AU43" s="45"/>
      <c r="AV43" s="45"/>
    </row>
    <row r="44" spans="1:49" x14ac:dyDescent="0.25">
      <c r="A44" s="46"/>
      <c r="E44" s="46"/>
      <c r="F44" s="136"/>
      <c r="G44" s="127"/>
      <c r="H44" s="135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V44" s="99"/>
      <c r="W44" s="99"/>
      <c r="X44" s="107"/>
      <c r="Y44" s="108"/>
      <c r="Z44" s="95"/>
      <c r="AI44"/>
      <c r="AJ44"/>
      <c r="AK44" s="39"/>
      <c r="AL44" s="39"/>
      <c r="AP44" s="46"/>
      <c r="AQ44"/>
      <c r="AR44"/>
      <c r="AS44" s="39"/>
      <c r="AT44" s="39"/>
    </row>
    <row r="45" spans="1:49" x14ac:dyDescent="0.25">
      <c r="A45" s="46"/>
      <c r="H45" s="64"/>
      <c r="M45" s="46"/>
      <c r="N45" s="46"/>
      <c r="O45" s="46"/>
      <c r="P45" s="46"/>
      <c r="Q45" s="46"/>
      <c r="R45" s="46"/>
      <c r="S45" s="46"/>
      <c r="AI45"/>
      <c r="AJ45"/>
      <c r="AK45" s="39"/>
      <c r="AL45" s="39"/>
      <c r="AP45" s="46"/>
      <c r="AQ45"/>
      <c r="AR45"/>
      <c r="AS45" s="39"/>
      <c r="AT45" s="39"/>
    </row>
    <row r="46" spans="1:49" x14ac:dyDescent="0.25">
      <c r="B46" s="65"/>
      <c r="C46" s="45" t="s">
        <v>82</v>
      </c>
      <c r="H46" s="64"/>
      <c r="AI46"/>
      <c r="AJ46"/>
      <c r="AK46" s="39"/>
      <c r="AL46" s="39"/>
      <c r="AQ46"/>
      <c r="AR46"/>
      <c r="AS46" s="39"/>
      <c r="AT46" s="39"/>
    </row>
    <row r="47" spans="1:49" x14ac:dyDescent="0.25">
      <c r="B47" s="66"/>
      <c r="C47" s="45" t="s">
        <v>83</v>
      </c>
      <c r="H47" s="64"/>
      <c r="AI47"/>
      <c r="AJ47"/>
      <c r="AK47" s="39"/>
      <c r="AL47" s="39"/>
      <c r="AQ47"/>
      <c r="AR47"/>
      <c r="AS47" s="39"/>
      <c r="AT47" s="39"/>
    </row>
    <row r="48" spans="1:49" x14ac:dyDescent="0.25">
      <c r="H48" s="64"/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E51" s="43"/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AI55"/>
      <c r="AJ55"/>
      <c r="AK55" s="39"/>
      <c r="AL55" s="39"/>
      <c r="AQ55"/>
      <c r="AR55"/>
      <c r="AS55" s="39"/>
      <c r="AT55" s="39"/>
    </row>
    <row r="56" spans="2:46" x14ac:dyDescent="0.25">
      <c r="AI56"/>
      <c r="AJ56"/>
      <c r="AK56" s="39"/>
      <c r="AL56" s="39"/>
      <c r="AQ56"/>
      <c r="AR56"/>
      <c r="AS56" s="39"/>
      <c r="AT56" s="39"/>
    </row>
    <row r="57" spans="2:46" x14ac:dyDescent="0.25">
      <c r="AI57"/>
      <c r="AJ57"/>
      <c r="AK57" s="39"/>
      <c r="AL57" s="39"/>
      <c r="AQ57"/>
      <c r="AR57"/>
      <c r="AS57" s="39"/>
      <c r="AT57" s="39"/>
    </row>
    <row r="58" spans="2:46" x14ac:dyDescent="0.25">
      <c r="B58" s="68"/>
      <c r="C58" s="68"/>
      <c r="D58"/>
      <c r="E58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ht="13.8" thickBot="1" x14ac:dyDescent="0.3"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B64"/>
      <c r="C64"/>
      <c r="D64"/>
      <c r="E64" s="1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x14ac:dyDescent="0.25">
      <c r="B65"/>
      <c r="C65"/>
      <c r="D65"/>
      <c r="E65" s="1"/>
      <c r="F65"/>
      <c r="G65"/>
      <c r="H65"/>
      <c r="I65"/>
      <c r="J65"/>
      <c r="K65"/>
      <c r="L65"/>
      <c r="AI65"/>
      <c r="AJ65"/>
      <c r="AK65" s="39"/>
      <c r="AL65" s="39"/>
      <c r="AQ65"/>
      <c r="AR65"/>
      <c r="AS65" s="39"/>
      <c r="AT65" s="39"/>
    </row>
    <row r="66" spans="1:48" x14ac:dyDescent="0.25">
      <c r="B66"/>
      <c r="C66"/>
      <c r="D66"/>
      <c r="E66" s="1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B67"/>
      <c r="C67"/>
      <c r="D67"/>
      <c r="E67" s="1"/>
      <c r="F67"/>
      <c r="G67"/>
      <c r="H67"/>
      <c r="I67"/>
      <c r="J67"/>
      <c r="K67"/>
      <c r="L67"/>
      <c r="AI67"/>
      <c r="AJ67"/>
      <c r="AK67" s="39"/>
      <c r="AL67" s="39"/>
      <c r="AQ67"/>
      <c r="AR67"/>
      <c r="AS67" s="39"/>
      <c r="AT67" s="39"/>
    </row>
    <row r="68" spans="1:48" x14ac:dyDescent="0.25">
      <c r="AI68"/>
      <c r="AJ68"/>
      <c r="AK68" s="39"/>
      <c r="AL68" s="39"/>
      <c r="AQ68"/>
      <c r="AR68"/>
      <c r="AS68" s="39"/>
      <c r="AT68" s="39"/>
    </row>
    <row r="69" spans="1:48" x14ac:dyDescent="0.25">
      <c r="V69" s="46"/>
      <c r="W69" s="46"/>
      <c r="X69" s="46"/>
      <c r="Y69" s="46"/>
      <c r="Z69" s="46"/>
      <c r="AA69" s="46"/>
      <c r="AB69" s="46"/>
      <c r="AI69"/>
      <c r="AJ69"/>
      <c r="AK69" s="39"/>
      <c r="AL69" s="39"/>
      <c r="AQ69"/>
      <c r="AR69"/>
      <c r="AS69" s="39"/>
      <c r="AT69" s="39"/>
    </row>
    <row r="70" spans="1:48" x14ac:dyDescent="0.25">
      <c r="V70" s="46"/>
      <c r="W70" s="46"/>
      <c r="X70" s="46"/>
      <c r="Y70" s="46"/>
      <c r="Z70" s="46"/>
      <c r="AA70" s="46"/>
      <c r="AB70" s="46"/>
      <c r="AC70" s="46"/>
      <c r="AI70"/>
      <c r="AJ70"/>
      <c r="AK70" s="39"/>
      <c r="AL70" s="39"/>
      <c r="AQ70"/>
      <c r="AR70"/>
      <c r="AS70" s="39"/>
      <c r="AT70" s="39"/>
    </row>
    <row r="71" spans="1:48" x14ac:dyDescent="0.25">
      <c r="V71" s="46"/>
      <c r="W71" s="46"/>
      <c r="X71" s="46"/>
      <c r="Y71" s="46"/>
      <c r="Z71" s="46"/>
      <c r="AA71" s="46"/>
      <c r="AB71" s="46"/>
      <c r="AC71" s="46"/>
      <c r="AD71" s="46"/>
      <c r="AI71"/>
      <c r="AJ71"/>
      <c r="AK71" s="39"/>
      <c r="AL71" s="39"/>
      <c r="AQ71"/>
      <c r="AR71"/>
      <c r="AS71" s="39"/>
      <c r="AT71" s="39"/>
    </row>
    <row r="72" spans="1:48" x14ac:dyDescent="0.25">
      <c r="AC72" s="46"/>
      <c r="AD72" s="46"/>
      <c r="AE72" s="46"/>
      <c r="AI72"/>
      <c r="AJ72"/>
      <c r="AK72" s="39"/>
      <c r="AL72" s="39"/>
      <c r="AQ72"/>
      <c r="AR72"/>
      <c r="AS72" s="39"/>
      <c r="AT72" s="39"/>
    </row>
    <row r="73" spans="1:48" x14ac:dyDescent="0.25">
      <c r="B73"/>
      <c r="C73"/>
      <c r="E73" s="68"/>
      <c r="F73" s="68"/>
      <c r="G73" s="1"/>
      <c r="H73"/>
      <c r="I73" s="68"/>
      <c r="J73"/>
      <c r="K73"/>
      <c r="L73" s="68"/>
      <c r="AD73" s="46"/>
      <c r="AE73" s="46"/>
      <c r="AI73"/>
      <c r="AJ73"/>
      <c r="AK73" s="39"/>
      <c r="AL73" s="39"/>
      <c r="AQ73"/>
      <c r="AR73"/>
      <c r="AS73" s="39"/>
      <c r="AT73" s="39"/>
    </row>
    <row r="74" spans="1:48" s="46" customFormat="1" x14ac:dyDescent="0.25">
      <c r="A74" s="45"/>
      <c r="B74" s="74"/>
      <c r="C74" s="74"/>
      <c r="D74" s="74"/>
      <c r="E74" s="74"/>
      <c r="F74" s="74"/>
      <c r="G74" s="74"/>
      <c r="H74" s="75"/>
      <c r="I74" s="74"/>
      <c r="J74" s="74"/>
      <c r="K74" s="74"/>
      <c r="L74" s="74"/>
      <c r="M74" s="45"/>
      <c r="N74" s="45"/>
      <c r="O74" s="45"/>
      <c r="P74" s="45"/>
      <c r="Q74" s="45"/>
      <c r="R74" s="45"/>
      <c r="S74" s="45"/>
      <c r="V74" s="45"/>
      <c r="W74" s="45"/>
      <c r="X74" s="45"/>
      <c r="Y74" s="45"/>
      <c r="Z74" s="45"/>
      <c r="AA74" s="45"/>
      <c r="AB74" s="45"/>
      <c r="AC74" s="45"/>
      <c r="AD74" s="45"/>
      <c r="AI74"/>
      <c r="AJ74" s="75"/>
      <c r="AK74" s="39"/>
      <c r="AL74" s="41"/>
      <c r="AM74" s="45"/>
      <c r="AN74" s="45"/>
      <c r="AQ74"/>
      <c r="AR74" s="75"/>
      <c r="AS74" s="39"/>
      <c r="AT74" s="41"/>
      <c r="AU74" s="45"/>
      <c r="AV74" s="45"/>
    </row>
    <row r="75" spans="1:48" s="46" customFormat="1" x14ac:dyDescent="0.25">
      <c r="A75" s="68"/>
      <c r="B75" s="76"/>
      <c r="C75" s="77"/>
      <c r="D75" s="76"/>
      <c r="E75" s="76"/>
      <c r="F75" s="76"/>
      <c r="G75" s="76"/>
      <c r="H75" s="75"/>
      <c r="I75" s="76"/>
      <c r="J75" s="76"/>
      <c r="K75" s="77"/>
      <c r="L75" s="77"/>
      <c r="M75" s="68"/>
      <c r="N75" s="68"/>
      <c r="O75" s="1"/>
      <c r="P75" s="45"/>
      <c r="Q75" s="45"/>
      <c r="R75" s="45"/>
      <c r="S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I75" s="42"/>
      <c r="AJ75" s="42"/>
      <c r="AK75" s="54"/>
    </row>
    <row r="76" spans="1:48" s="46" customFormat="1" x14ac:dyDescent="0.25">
      <c r="A76" s="74"/>
      <c r="B76" s="76"/>
      <c r="C76" s="76"/>
      <c r="D76" s="76"/>
      <c r="E76" s="76"/>
      <c r="F76" s="76"/>
      <c r="G76" s="76"/>
      <c r="H76" s="75"/>
      <c r="I76" s="76"/>
      <c r="J76" s="76"/>
      <c r="K76" s="76"/>
      <c r="L76" s="76"/>
      <c r="M76" s="74"/>
      <c r="N76" s="74"/>
      <c r="O76" s="74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I76" s="42"/>
      <c r="AJ76" s="42"/>
      <c r="AK76" s="54"/>
    </row>
    <row r="77" spans="1:48" x14ac:dyDescent="0.25">
      <c r="A77" s="76"/>
      <c r="B77"/>
      <c r="C77" s="39"/>
      <c r="D77" s="39"/>
      <c r="H77"/>
      <c r="I77"/>
      <c r="J77"/>
      <c r="K77" s="39"/>
      <c r="L77" s="39"/>
      <c r="M77" s="77"/>
      <c r="N77" s="77"/>
      <c r="O77" s="76"/>
      <c r="P77" s="46"/>
      <c r="Q77" s="46"/>
      <c r="R77" s="46"/>
      <c r="S77" s="46"/>
      <c r="AI77" s="38"/>
      <c r="AJ77" s="38"/>
      <c r="AK77" s="50"/>
    </row>
    <row r="78" spans="1:48" x14ac:dyDescent="0.25">
      <c r="A78" s="76"/>
      <c r="B78"/>
      <c r="C78" s="39"/>
      <c r="D78" s="39"/>
      <c r="H78" s="73"/>
      <c r="I78"/>
      <c r="J78"/>
      <c r="K78" s="39"/>
      <c r="L78" s="39"/>
      <c r="M78" s="76"/>
      <c r="N78" s="76"/>
      <c r="O78" s="76"/>
      <c r="P78" s="46"/>
      <c r="Q78" s="46"/>
      <c r="R78" s="46"/>
      <c r="S78" s="46"/>
      <c r="AI78" s="38"/>
      <c r="AJ78" s="38"/>
      <c r="AK78" s="50"/>
    </row>
    <row r="79" spans="1:48" x14ac:dyDescent="0.25">
      <c r="A79"/>
      <c r="B79"/>
      <c r="C79" s="39"/>
      <c r="D79" s="39"/>
      <c r="I79"/>
      <c r="J79"/>
      <c r="K79" s="39"/>
      <c r="L79" s="39"/>
      <c r="AI79" s="38"/>
      <c r="AJ79" s="38"/>
      <c r="AK79" s="50"/>
    </row>
    <row r="80" spans="1:48" x14ac:dyDescent="0.25">
      <c r="A80"/>
      <c r="B80"/>
      <c r="C80" s="39"/>
      <c r="D80" s="39"/>
      <c r="I80"/>
      <c r="J80"/>
      <c r="K80" s="39"/>
      <c r="L80" s="39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H92" s="46"/>
      <c r="I92"/>
      <c r="J92"/>
      <c r="K92" s="39"/>
      <c r="L92" s="39"/>
      <c r="O92" s="46"/>
      <c r="AI92" s="38"/>
      <c r="AJ92" s="38"/>
      <c r="AK92" s="50"/>
    </row>
    <row r="93" spans="1:37" x14ac:dyDescent="0.25">
      <c r="A93"/>
      <c r="B93"/>
      <c r="C93" s="39"/>
      <c r="D93" s="39"/>
      <c r="H93" s="46"/>
      <c r="I93"/>
      <c r="J93"/>
      <c r="K93" s="39"/>
      <c r="L93" s="39"/>
      <c r="O93" s="46"/>
      <c r="AI93" s="38"/>
      <c r="AJ93" s="38"/>
      <c r="AK93" s="50"/>
    </row>
    <row r="94" spans="1:37" x14ac:dyDescent="0.25">
      <c r="A94"/>
      <c r="B94"/>
      <c r="C94" s="39"/>
      <c r="D94" s="39"/>
      <c r="H94" s="46"/>
      <c r="I94"/>
      <c r="J94"/>
      <c r="K94" s="39"/>
      <c r="L94" s="39"/>
      <c r="O94" s="46"/>
      <c r="AI94" s="38"/>
      <c r="AJ94" s="38"/>
      <c r="AK94" s="50"/>
    </row>
    <row r="95" spans="1:37" x14ac:dyDescent="0.25">
      <c r="A95"/>
      <c r="B95"/>
      <c r="C95" s="39"/>
      <c r="D95" s="39"/>
      <c r="H95" s="46"/>
      <c r="I95"/>
      <c r="J95"/>
      <c r="K95" s="39"/>
      <c r="L95" s="39"/>
      <c r="O95" s="46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0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0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0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0"/>
    </row>
    <row r="125" spans="1:37" x14ac:dyDescent="0.25">
      <c r="A125"/>
      <c r="AI125" s="38"/>
      <c r="AJ125" s="38"/>
      <c r="AK125" s="50"/>
    </row>
    <row r="126" spans="1:37" x14ac:dyDescent="0.25">
      <c r="A126"/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  <row r="147" spans="35:37" x14ac:dyDescent="0.25">
      <c r="AI147" s="38"/>
      <c r="AJ147" s="38"/>
      <c r="AK147" s="50"/>
    </row>
    <row r="148" spans="35:37" x14ac:dyDescent="0.25">
      <c r="AI148" s="38"/>
      <c r="AJ148" s="38"/>
      <c r="AK148" s="50"/>
    </row>
    <row r="149" spans="35:37" x14ac:dyDescent="0.25">
      <c r="AI149" s="38"/>
      <c r="AJ149" s="38"/>
      <c r="AK149" s="50"/>
    </row>
    <row r="150" spans="35:37" x14ac:dyDescent="0.25">
      <c r="AI150" s="38"/>
      <c r="AJ150" s="38"/>
      <c r="AK150" s="50"/>
    </row>
  </sheetData>
  <phoneticPr fontId="24" type="noConversion"/>
  <pageMargins left="0.7" right="0.7" top="0.75" bottom="0.75" header="0.3" footer="0.3"/>
  <pageSetup paperSize="9" orientation="portrait" r:id="rId1"/>
  <ignoredErrors>
    <ignoredError sqref="B3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2026-03-28T13:57:16Z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