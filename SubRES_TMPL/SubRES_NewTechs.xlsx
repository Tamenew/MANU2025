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ADB63687-61E5-4C78-8181-5A78606B148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<sst xmlns="http://schemas.openxmlformats.org/spreadsheetml/2006/main" count="470" uniqueCount="199">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</sst>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F5" zoomScale="142" zoomScaleNormal="142" workbookViewId="0">
      <selection activeCell="T26" sqref="T26: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M144"/>
  <sheetViews>
    <sheetView tabSelected="1" topLeftCell="X42" zoomScale="118" zoomScaleNormal="118" workbookViewId="0">
      <selection activeCell="AJ21" sqref="AJ21:AJ68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7" width="8.85546875" style="48"/>
    <col min="38" max="38" width="13.140625" style="48" bestFit="1" customWidth="1"/>
    <col min="39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39" ht="24" customHeight="1" x14ac:dyDescent="0.2">
      <c r="B17" s="59" t="s">
        <v>1</v>
      </c>
      <c r="C17" s="59" t="s">
        <v>3</v>
      </c>
      <c r="D17" s="59" t="s">
        <v>4</v>
      </c>
      <c r="E17" s="60" t="s">
        <v>193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195</v>
      </c>
      <c r="P17" s="62" t="s">
        <v>196</v>
      </c>
      <c r="Q17" s="62" t="s">
        <v>197</v>
      </c>
      <c r="R17" s="62" t="s">
        <v>198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181</v>
      </c>
      <c r="AJ17" s="38"/>
      <c r="AK17" s="63"/>
      <c r="AL17" s="38"/>
    </row>
    <row r="18" spans="2:39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194</v>
      </c>
      <c r="P18" s="33" t="s">
        <v>194</v>
      </c>
      <c r="Q18" s="33" t="s">
        <v>194</v>
      </c>
      <c r="R18" s="81" t="s">
        <v>194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6</v>
      </c>
      <c r="AK18" s="64" t="s">
        <v>131</v>
      </c>
      <c r="AL18" s="64" t="s">
        <v>93</v>
      </c>
      <c r="AM18" s="64" t="s">
        <v>94</v>
      </c>
    </row>
    <row r="19" spans="2:39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132</v>
      </c>
      <c r="AK19" s="44"/>
      <c r="AL19" s="44"/>
      <c r="AM19" s="44"/>
    </row>
    <row r="20" spans="2:39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4"/>
    </row>
    <row r="21" spans="2:39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182</v>
      </c>
      <c r="AJ21" s="39" t="s">
        <v>69</v>
      </c>
      <c r="AK21" s="48" t="s">
        <v>133</v>
      </c>
      <c r="AL21" s="48">
        <v>3.3051976250754521E-3</v>
      </c>
      <c r="AM21" s="48">
        <v>0</v>
      </c>
    </row>
    <row r="22" spans="2:39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182</v>
      </c>
      <c r="AJ22" s="39" t="s">
        <v>69</v>
      </c>
      <c r="AK22" s="69" t="s">
        <v>134</v>
      </c>
      <c r="AL22" s="48">
        <v>3.1618331753269246E-3</v>
      </c>
      <c r="AM22" s="48">
        <v>0</v>
      </c>
    </row>
    <row r="23" spans="2:39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182</v>
      </c>
      <c r="AJ23" s="39" t="s">
        <v>69</v>
      </c>
      <c r="AK23" s="48" t="s">
        <v>135</v>
      </c>
      <c r="AL23" s="48">
        <v>2.8979409360310663E-3</v>
      </c>
      <c r="AM23" s="49">
        <v>0</v>
      </c>
    </row>
    <row r="24" spans="2:39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182</v>
      </c>
      <c r="AJ24" s="39" t="s">
        <v>69</v>
      </c>
      <c r="AK24" s="69" t="s">
        <v>136</v>
      </c>
      <c r="AL24" s="48">
        <v>2.7156926103261707E-3</v>
      </c>
      <c r="AM24" s="49">
        <v>0</v>
      </c>
    </row>
    <row r="25" spans="2:39" s="49" customFormat="1" x14ac:dyDescent="0.2">
      <c r="B25" s="53" t="str">
        <f>X26</f>
        <v>WNDTRBN</v>
      </c>
      <c r="C25" s="48"/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182</v>
      </c>
      <c r="AJ25" s="39" t="s">
        <v>69</v>
      </c>
      <c r="AK25" s="48" t="s">
        <v>137</v>
      </c>
      <c r="AL25" s="48">
        <v>2.5452192095824343E-3</v>
      </c>
      <c r="AM25" s="49">
        <v>0</v>
      </c>
    </row>
    <row r="26" spans="2:39" s="49" customFormat="1" x14ac:dyDescent="0.2">
      <c r="B26" s="53" t="str">
        <f>X27</f>
        <v>SOLPV</v>
      </c>
      <c r="C26" s="48"/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182</v>
      </c>
      <c r="AJ26" s="39" t="s">
        <v>69</v>
      </c>
      <c r="AK26" s="69" t="s">
        <v>138</v>
      </c>
      <c r="AL26" s="48">
        <v>2.5834450529081338E-3</v>
      </c>
      <c r="AM26" s="49">
        <v>0</v>
      </c>
    </row>
    <row r="27" spans="2:39" s="49" customFormat="1" x14ac:dyDescent="0.2">
      <c r="B27" s="53" t="str">
        <f>X25</f>
        <v>CSP</v>
      </c>
      <c r="C27" s="48"/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182</v>
      </c>
      <c r="AJ27" s="39" t="s">
        <v>69</v>
      </c>
      <c r="AK27" s="48" t="s">
        <v>139</v>
      </c>
      <c r="AL27" s="48">
        <v>2.7432881310744317E-3</v>
      </c>
      <c r="AM27" s="49">
        <v>6.9165519713261618E-3</v>
      </c>
    </row>
    <row r="28" spans="2:39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182</v>
      </c>
      <c r="AJ28" s="39" t="s">
        <v>69</v>
      </c>
      <c r="AK28" s="69" t="s">
        <v>140</v>
      </c>
      <c r="AL28" s="48">
        <v>2.8314721319216154E-3</v>
      </c>
      <c r="AM28" s="49">
        <v>4.9742853046594968E-2</v>
      </c>
    </row>
    <row r="29" spans="2:39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182</v>
      </c>
      <c r="AJ29" s="39" t="s">
        <v>69</v>
      </c>
      <c r="AK29" s="48" t="s">
        <v>141</v>
      </c>
      <c r="AL29" s="48">
        <v>2.8141143326017269E-3</v>
      </c>
      <c r="AM29" s="49">
        <v>0.12554577777777776</v>
      </c>
    </row>
    <row r="30" spans="2:39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182</v>
      </c>
      <c r="AJ30" s="39" t="s">
        <v>69</v>
      </c>
      <c r="AK30" s="69" t="s">
        <v>142</v>
      </c>
      <c r="AL30" s="48">
        <v>2.6656478128544076E-3</v>
      </c>
      <c r="AM30" s="49">
        <v>0.2058007025089606</v>
      </c>
    </row>
    <row r="31" spans="2:39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182</v>
      </c>
      <c r="AJ31" s="39" t="s">
        <v>69</v>
      </c>
      <c r="AK31" s="48" t="s">
        <v>143</v>
      </c>
      <c r="AL31" s="48">
        <v>2.4530677112863486E-3</v>
      </c>
      <c r="AM31" s="49">
        <v>0.27468446594982077</v>
      </c>
    </row>
    <row r="32" spans="2:39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182</v>
      </c>
      <c r="AJ32" s="39" t="s">
        <v>69</v>
      </c>
      <c r="AK32" s="69" t="s">
        <v>144</v>
      </c>
      <c r="AL32" s="48">
        <v>2.1363241345921055E-3</v>
      </c>
      <c r="AM32" s="49">
        <v>0.32637437275985665</v>
      </c>
    </row>
    <row r="33" spans="2:39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182</v>
      </c>
      <c r="AJ33" s="39" t="s">
        <v>69</v>
      </c>
      <c r="AK33" s="48" t="s">
        <v>145</v>
      </c>
      <c r="AL33" s="48">
        <v>1.8660639529435976E-3</v>
      </c>
      <c r="AM33" s="49">
        <v>0.35267560573476697</v>
      </c>
    </row>
    <row r="34" spans="2:39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182</v>
      </c>
      <c r="AJ34" s="39" t="s">
        <v>69</v>
      </c>
      <c r="AK34" s="69" t="s">
        <v>146</v>
      </c>
      <c r="AL34" s="48">
        <v>1.7487528282965712E-3</v>
      </c>
      <c r="AM34" s="49">
        <v>0.34322033691756271</v>
      </c>
    </row>
    <row r="35" spans="2:39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182</v>
      </c>
      <c r="AJ35" s="39" t="s">
        <v>69</v>
      </c>
      <c r="AK35" s="48" t="s">
        <v>147</v>
      </c>
      <c r="AL35" s="48">
        <v>1.6637860863902745E-3</v>
      </c>
      <c r="AM35" s="49">
        <v>0.30308891039426522</v>
      </c>
    </row>
    <row r="36" spans="2:39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182</v>
      </c>
      <c r="AJ36" s="39" t="s">
        <v>69</v>
      </c>
      <c r="AK36" s="69" t="s">
        <v>148</v>
      </c>
      <c r="AL36" s="48">
        <v>1.8211742012316831E-3</v>
      </c>
      <c r="AM36" s="49">
        <v>0.23170381362007167</v>
      </c>
    </row>
    <row r="37" spans="2:39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182</v>
      </c>
      <c r="AJ37" s="39" t="s">
        <v>69</v>
      </c>
      <c r="AK37" s="48" t="s">
        <v>149</v>
      </c>
      <c r="AL37" s="48">
        <v>1.9153018835258307E-3</v>
      </c>
      <c r="AM37" s="49">
        <v>0.14172651612903225</v>
      </c>
    </row>
    <row r="38" spans="2:39" x14ac:dyDescent="0.2">
      <c r="F38" s="73"/>
      <c r="G38" s="46"/>
      <c r="H38" s="75"/>
      <c r="W38" s="49"/>
      <c r="Y38" s="49"/>
      <c r="Z38" s="57"/>
      <c r="AA38" s="57"/>
      <c r="AI38" s="38" t="s">
        <v>182</v>
      </c>
      <c r="AJ38" s="39" t="s">
        <v>69</v>
      </c>
      <c r="AK38" s="69" t="s">
        <v>150</v>
      </c>
      <c r="AL38" s="48">
        <v>1.9744590518638132E-3</v>
      </c>
      <c r="AM38" s="48">
        <v>5.3895483870967743E-2</v>
      </c>
    </row>
    <row r="39" spans="2:39" x14ac:dyDescent="0.2">
      <c r="H39" s="75"/>
      <c r="AI39" s="38" t="s">
        <v>182</v>
      </c>
      <c r="AJ39" s="39" t="s">
        <v>69</v>
      </c>
      <c r="AK39" s="48" t="s">
        <v>151</v>
      </c>
      <c r="AL39" s="48">
        <v>2.1878436160058393E-3</v>
      </c>
      <c r="AM39" s="48">
        <v>2.6301935483870969E-3</v>
      </c>
    </row>
    <row r="40" spans="2:39" x14ac:dyDescent="0.2">
      <c r="B40" s="76"/>
      <c r="C40" s="48" t="s">
        <v>82</v>
      </c>
      <c r="H40" s="75"/>
      <c r="AI40" s="38" t="s">
        <v>182</v>
      </c>
      <c r="AJ40" s="39" t="s">
        <v>69</v>
      </c>
      <c r="AK40" s="69" t="s">
        <v>152</v>
      </c>
      <c r="AL40" s="48">
        <v>2.3889741533883327E-3</v>
      </c>
      <c r="AM40" s="48">
        <v>0</v>
      </c>
    </row>
    <row r="41" spans="2:39" x14ac:dyDescent="0.2">
      <c r="B41" s="77"/>
      <c r="C41" s="48" t="s">
        <v>83</v>
      </c>
      <c r="H41" s="75"/>
      <c r="AI41" s="38" t="s">
        <v>182</v>
      </c>
      <c r="AJ41" s="39" t="s">
        <v>69</v>
      </c>
      <c r="AK41" s="48" t="s">
        <v>153</v>
      </c>
      <c r="AL41" s="48">
        <v>2.4063426997311056E-3</v>
      </c>
      <c r="AM41" s="48">
        <v>0</v>
      </c>
    </row>
    <row r="42" spans="2:39" x14ac:dyDescent="0.2">
      <c r="E42" s="48" t="s">
        <v>89</v>
      </c>
      <c r="F42" s="48" t="s">
        <v>90</v>
      </c>
      <c r="H42" s="75"/>
      <c r="AI42" s="38" t="s">
        <v>182</v>
      </c>
      <c r="AJ42" s="39" t="s">
        <v>69</v>
      </c>
      <c r="AK42" s="69" t="s">
        <v>154</v>
      </c>
      <c r="AL42" s="48">
        <v>2.5925256698099051E-3</v>
      </c>
      <c r="AM42" s="48">
        <v>0</v>
      </c>
    </row>
    <row r="43" spans="2:39" x14ac:dyDescent="0.2">
      <c r="AI43" s="38" t="s">
        <v>182</v>
      </c>
      <c r="AJ43" s="39" t="s">
        <v>69</v>
      </c>
      <c r="AK43" s="48" t="s">
        <v>155</v>
      </c>
      <c r="AL43" s="48">
        <v>2.9724559200622644E-3</v>
      </c>
      <c r="AM43" s="48">
        <v>0</v>
      </c>
    </row>
    <row r="44" spans="2:39" x14ac:dyDescent="0.2">
      <c r="E44" s="48" t="s">
        <v>91</v>
      </c>
      <c r="F44" s="48">
        <f>24*365</f>
        <v>8760</v>
      </c>
      <c r="AI44" s="38" t="s">
        <v>182</v>
      </c>
      <c r="AJ44" s="39" t="s">
        <v>69</v>
      </c>
      <c r="AK44" s="69" t="s">
        <v>156</v>
      </c>
      <c r="AL44" s="48">
        <v>3.3823091606694387E-3</v>
      </c>
      <c r="AM44" s="48">
        <v>0</v>
      </c>
    </row>
    <row r="45" spans="2:39" x14ac:dyDescent="0.2">
      <c r="E45" s="46"/>
      <c r="AI45" s="38" t="s">
        <v>182</v>
      </c>
      <c r="AJ45" s="39" t="s">
        <v>69</v>
      </c>
      <c r="AK45" s="38" t="s">
        <v>157</v>
      </c>
      <c r="AL45" s="48">
        <v>3.3051976250754521E-3</v>
      </c>
      <c r="AM45" s="48">
        <v>0</v>
      </c>
    </row>
    <row r="46" spans="2:39" x14ac:dyDescent="0.2">
      <c r="AI46" s="38" t="s">
        <v>182</v>
      </c>
      <c r="AJ46" s="39" t="s">
        <v>69</v>
      </c>
      <c r="AK46" s="38" t="s">
        <v>158</v>
      </c>
      <c r="AL46" s="48">
        <v>3.1618331753269246E-3</v>
      </c>
      <c r="AM46" s="48">
        <v>0</v>
      </c>
    </row>
    <row r="47" spans="2:39" x14ac:dyDescent="0.2">
      <c r="AI47" s="38" t="s">
        <v>182</v>
      </c>
      <c r="AJ47" s="39" t="s">
        <v>69</v>
      </c>
      <c r="AK47" s="38" t="s">
        <v>159</v>
      </c>
      <c r="AL47" s="48">
        <v>2.8979409360310663E-3</v>
      </c>
      <c r="AM47" s="48">
        <v>0</v>
      </c>
    </row>
    <row r="48" spans="2:39" x14ac:dyDescent="0.2">
      <c r="AI48" s="38" t="s">
        <v>182</v>
      </c>
      <c r="AJ48" s="39" t="s">
        <v>69</v>
      </c>
      <c r="AK48" s="38" t="s">
        <v>160</v>
      </c>
      <c r="AL48" s="48">
        <v>2.7156926103261707E-3</v>
      </c>
      <c r="AM48" s="48">
        <v>0</v>
      </c>
    </row>
    <row r="49" spans="2:39" x14ac:dyDescent="0.2">
      <c r="AI49" s="38" t="s">
        <v>182</v>
      </c>
      <c r="AJ49" s="39" t="s">
        <v>69</v>
      </c>
      <c r="AK49" s="38" t="s">
        <v>161</v>
      </c>
      <c r="AL49" s="48">
        <v>2.5452192095824343E-3</v>
      </c>
      <c r="AM49" s="48">
        <v>0</v>
      </c>
    </row>
    <row r="50" spans="2:39" x14ac:dyDescent="0.2">
      <c r="AI50" s="38" t="s">
        <v>182</v>
      </c>
      <c r="AJ50" s="39" t="s">
        <v>69</v>
      </c>
      <c r="AK50" s="38" t="s">
        <v>162</v>
      </c>
      <c r="AL50" s="48">
        <v>2.5834450529081338E-3</v>
      </c>
      <c r="AM50" s="48">
        <v>0</v>
      </c>
    </row>
    <row r="51" spans="2:39" x14ac:dyDescent="0.2">
      <c r="AI51" s="38" t="s">
        <v>182</v>
      </c>
      <c r="AJ51" s="39" t="s">
        <v>69</v>
      </c>
      <c r="AK51" s="38" t="s">
        <v>163</v>
      </c>
      <c r="AL51" s="48">
        <v>2.7432881310744317E-3</v>
      </c>
      <c r="AM51" s="48">
        <v>6.4190919952210254E-3</v>
      </c>
    </row>
    <row r="52" spans="2:39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I52" s="38" t="s">
        <v>182</v>
      </c>
      <c r="AJ52" s="39" t="s">
        <v>69</v>
      </c>
      <c r="AK52" s="38" t="s">
        <v>164</v>
      </c>
      <c r="AL52" s="48">
        <v>2.8314721319216154E-3</v>
      </c>
      <c r="AM52" s="48">
        <v>7.0838474313022717E-2</v>
      </c>
    </row>
    <row r="53" spans="2:39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182</v>
      </c>
      <c r="AJ53" s="39" t="s">
        <v>69</v>
      </c>
      <c r="AK53" s="38" t="s">
        <v>165</v>
      </c>
      <c r="AL53" s="48">
        <v>2.8141143326017269E-3</v>
      </c>
      <c r="AM53" s="48">
        <v>0.15999428793309439</v>
      </c>
    </row>
    <row r="54" spans="2:39" ht="13.5" thickBot="1" x14ac:dyDescent="0.25">
      <c r="B54" s="80" t="s">
        <v>188</v>
      </c>
      <c r="C54" s="80" t="s">
        <v>189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182</v>
      </c>
      <c r="AJ54" s="39" t="s">
        <v>69</v>
      </c>
      <c r="AK54" s="38" t="s">
        <v>166</v>
      </c>
      <c r="AL54" s="48">
        <v>2.6656478128544076E-3</v>
      </c>
      <c r="AM54" s="48">
        <v>0.25343209199522099</v>
      </c>
    </row>
    <row r="55" spans="2:39" x14ac:dyDescent="0.2">
      <c r="B55" t="s">
        <v>121</v>
      </c>
      <c r="C55" t="s">
        <v>94</v>
      </c>
      <c r="D55" t="s">
        <v>191</v>
      </c>
      <c r="E55" s="1" t="s">
        <v>192</v>
      </c>
      <c r="F55">
        <v>0</v>
      </c>
      <c r="G55">
        <v>0</v>
      </c>
      <c r="H55"/>
      <c r="I55"/>
      <c r="J55"/>
      <c r="K55"/>
      <c r="L55"/>
      <c r="AI55" s="38" t="s">
        <v>182</v>
      </c>
      <c r="AJ55" s="39" t="s">
        <v>69</v>
      </c>
      <c r="AK55" s="38" t="s">
        <v>167</v>
      </c>
      <c r="AL55" s="48">
        <v>2.4530677112863486E-3</v>
      </c>
      <c r="AM55" s="48">
        <v>0.32960197968936678</v>
      </c>
    </row>
    <row r="56" spans="2:39" x14ac:dyDescent="0.2">
      <c r="B56" t="s">
        <v>121</v>
      </c>
      <c r="C56" t="s">
        <v>93</v>
      </c>
      <c r="D56" t="s">
        <v>191</v>
      </c>
      <c r="E56" s="1" t="s">
        <v>192</v>
      </c>
      <c r="F56">
        <v>0</v>
      </c>
      <c r="G56">
        <v>0</v>
      </c>
      <c r="H56"/>
      <c r="I56"/>
      <c r="J56"/>
      <c r="K56"/>
      <c r="L56"/>
      <c r="AI56" s="38" t="s">
        <v>182</v>
      </c>
      <c r="AJ56" s="39" t="s">
        <v>69</v>
      </c>
      <c r="AK56" s="38" t="s">
        <v>168</v>
      </c>
      <c r="AL56" s="48">
        <v>2.1363241345921055E-3</v>
      </c>
      <c r="AM56" s="48">
        <v>0.37592762246117079</v>
      </c>
    </row>
    <row r="57" spans="2:39" x14ac:dyDescent="0.2">
      <c r="B57" t="s">
        <v>121</v>
      </c>
      <c r="C57" t="s">
        <v>65</v>
      </c>
      <c r="D57" t="s">
        <v>191</v>
      </c>
      <c r="E57" s="1" t="s">
        <v>192</v>
      </c>
      <c r="F57">
        <v>0</v>
      </c>
      <c r="G57">
        <v>0</v>
      </c>
      <c r="H57"/>
      <c r="I57"/>
      <c r="J57"/>
      <c r="K57"/>
      <c r="L57"/>
      <c r="AI57" s="38" t="s">
        <v>182</v>
      </c>
      <c r="AJ57" s="39" t="s">
        <v>69</v>
      </c>
      <c r="AK57" s="38" t="s">
        <v>169</v>
      </c>
      <c r="AL57" s="48">
        <v>1.8660639529435976E-3</v>
      </c>
      <c r="AM57" s="48">
        <v>0.38776096057347664</v>
      </c>
    </row>
    <row r="58" spans="2:39" x14ac:dyDescent="0.2">
      <c r="B58" t="s">
        <v>121</v>
      </c>
      <c r="C58" t="s">
        <v>190</v>
      </c>
      <c r="D58" t="s">
        <v>191</v>
      </c>
      <c r="E58" s="1" t="s">
        <v>192</v>
      </c>
      <c r="F58">
        <v>0</v>
      </c>
      <c r="G58">
        <v>0</v>
      </c>
      <c r="H58"/>
      <c r="I58"/>
      <c r="J58"/>
      <c r="K58"/>
      <c r="L58"/>
      <c r="AI58" s="38" t="s">
        <v>182</v>
      </c>
      <c r="AJ58" s="39" t="s">
        <v>69</v>
      </c>
      <c r="AK58" s="38" t="s">
        <v>170</v>
      </c>
      <c r="AL58" s="48">
        <v>1.7487528282965712E-3</v>
      </c>
      <c r="AM58" s="48">
        <v>0.36426783751493425</v>
      </c>
    </row>
    <row r="59" spans="2:39" x14ac:dyDescent="0.2">
      <c r="B59" t="s">
        <v>121</v>
      </c>
      <c r="C59" t="s">
        <v>102</v>
      </c>
      <c r="D59" t="s">
        <v>191</v>
      </c>
      <c r="E59" s="1" t="s">
        <v>192</v>
      </c>
      <c r="F59">
        <v>0</v>
      </c>
      <c r="G59">
        <v>0</v>
      </c>
      <c r="H59"/>
      <c r="I59"/>
      <c r="J59"/>
      <c r="K59"/>
      <c r="L59"/>
      <c r="AI59" s="38" t="s">
        <v>182</v>
      </c>
      <c r="AJ59" s="39" t="s">
        <v>69</v>
      </c>
      <c r="AK59" s="38" t="s">
        <v>171</v>
      </c>
      <c r="AL59" s="48">
        <v>1.6637860863902745E-3</v>
      </c>
      <c r="AM59" s="48">
        <v>0.31009156033452806</v>
      </c>
    </row>
    <row r="60" spans="2:39" x14ac:dyDescent="0.2">
      <c r="B60" t="s">
        <v>121</v>
      </c>
      <c r="C60" t="s">
        <v>105</v>
      </c>
      <c r="D60" t="s">
        <v>191</v>
      </c>
      <c r="E60" s="1" t="s">
        <v>192</v>
      </c>
      <c r="F60">
        <v>0</v>
      </c>
      <c r="G60">
        <v>0</v>
      </c>
      <c r="H60"/>
      <c r="I60"/>
      <c r="J60"/>
      <c r="K60"/>
      <c r="L60"/>
      <c r="AI60" s="38" t="s">
        <v>182</v>
      </c>
      <c r="AJ60" s="39" t="s">
        <v>69</v>
      </c>
      <c r="AK60" s="38" t="s">
        <v>172</v>
      </c>
      <c r="AL60" s="48">
        <v>1.8211742012316831E-3</v>
      </c>
      <c r="AM60" s="48">
        <v>0.23188419952210276</v>
      </c>
    </row>
    <row r="61" spans="2:39" x14ac:dyDescent="0.2">
      <c r="B61" t="s">
        <v>121</v>
      </c>
      <c r="C61" t="s">
        <v>66</v>
      </c>
      <c r="D61" t="s">
        <v>191</v>
      </c>
      <c r="E61" s="1" t="s">
        <v>192</v>
      </c>
      <c r="F61">
        <v>0</v>
      </c>
      <c r="G61">
        <v>0</v>
      </c>
      <c r="H61"/>
      <c r="I61"/>
      <c r="J61"/>
      <c r="K61"/>
      <c r="L61"/>
      <c r="AI61" s="38" t="s">
        <v>182</v>
      </c>
      <c r="AJ61" s="39" t="s">
        <v>69</v>
      </c>
      <c r="AK61" s="38" t="s">
        <v>173</v>
      </c>
      <c r="AL61" s="48">
        <v>1.9153018835258307E-3</v>
      </c>
      <c r="AM61" s="48">
        <v>0.13618056033452808</v>
      </c>
    </row>
    <row r="62" spans="2:39" x14ac:dyDescent="0.2">
      <c r="B62" t="s">
        <v>121</v>
      </c>
      <c r="C62" t="s">
        <v>103</v>
      </c>
      <c r="D62" t="s">
        <v>191</v>
      </c>
      <c r="E62" s="1" t="s">
        <v>192</v>
      </c>
      <c r="F62">
        <v>0</v>
      </c>
      <c r="G62">
        <v>0</v>
      </c>
      <c r="H62"/>
      <c r="I62"/>
      <c r="J62"/>
      <c r="K62"/>
      <c r="L62"/>
      <c r="AI62" s="38" t="s">
        <v>182</v>
      </c>
      <c r="AJ62" s="39" t="s">
        <v>69</v>
      </c>
      <c r="AK62" s="38" t="s">
        <v>174</v>
      </c>
      <c r="AL62" s="48">
        <v>1.9744590518638132E-3</v>
      </c>
      <c r="AM62" s="48">
        <v>4.9357593787335743E-2</v>
      </c>
    </row>
    <row r="63" spans="2:39" x14ac:dyDescent="0.2">
      <c r="AI63" s="38" t="s">
        <v>182</v>
      </c>
      <c r="AJ63" s="39" t="s">
        <v>69</v>
      </c>
      <c r="AK63" s="38" t="s">
        <v>175</v>
      </c>
      <c r="AL63" s="48">
        <v>2.1878436160058393E-3</v>
      </c>
      <c r="AM63" s="48">
        <v>7.5268817204301086E-6</v>
      </c>
    </row>
    <row r="64" spans="2:39" x14ac:dyDescent="0.2">
      <c r="AI64" s="38" t="s">
        <v>182</v>
      </c>
      <c r="AJ64" s="39" t="s">
        <v>69</v>
      </c>
      <c r="AK64" s="38" t="s">
        <v>176</v>
      </c>
      <c r="AL64" s="48">
        <v>2.3889741533883327E-3</v>
      </c>
      <c r="AM64" s="48">
        <v>0</v>
      </c>
    </row>
    <row r="65" spans="35:39" x14ac:dyDescent="0.2">
      <c r="AI65" s="38" t="s">
        <v>182</v>
      </c>
      <c r="AJ65" s="39" t="s">
        <v>69</v>
      </c>
      <c r="AK65" s="38" t="s">
        <v>177</v>
      </c>
      <c r="AL65" s="48">
        <v>2.4063426997311056E-3</v>
      </c>
      <c r="AM65" s="48">
        <v>0</v>
      </c>
    </row>
    <row r="66" spans="35:39" x14ac:dyDescent="0.2">
      <c r="AI66" s="38" t="s">
        <v>182</v>
      </c>
      <c r="AJ66" s="39" t="s">
        <v>69</v>
      </c>
      <c r="AK66" s="38" t="s">
        <v>178</v>
      </c>
      <c r="AL66" s="48">
        <v>2.5925256698099051E-3</v>
      </c>
      <c r="AM66" s="48">
        <v>0</v>
      </c>
    </row>
    <row r="67" spans="35:39" x14ac:dyDescent="0.2">
      <c r="AI67" s="38" t="s">
        <v>182</v>
      </c>
      <c r="AJ67" s="39" t="s">
        <v>69</v>
      </c>
      <c r="AK67" s="38" t="s">
        <v>179</v>
      </c>
      <c r="AL67" s="48">
        <v>2.9724559200622644E-3</v>
      </c>
      <c r="AM67" s="48">
        <v>0</v>
      </c>
    </row>
    <row r="68" spans="35:39" x14ac:dyDescent="0.2">
      <c r="AI68" s="38" t="s">
        <v>182</v>
      </c>
      <c r="AJ68" s="39" t="s">
        <v>69</v>
      </c>
      <c r="AK68" s="38" t="s">
        <v>180</v>
      </c>
      <c r="AL68" s="48">
        <v>3.3823091606694387E-3</v>
      </c>
      <c r="AM68" s="48">
        <v>0</v>
      </c>
    </row>
    <row r="69" spans="35:39" x14ac:dyDescent="0.2">
      <c r="AI69" s="38"/>
      <c r="AJ69" s="53"/>
    </row>
    <row r="70" spans="35:39" x14ac:dyDescent="0.2">
      <c r="AI70" s="38"/>
      <c r="AJ70" s="53"/>
    </row>
    <row r="71" spans="35:39" x14ac:dyDescent="0.2">
      <c r="AI71" s="38"/>
      <c r="AJ71" s="53"/>
    </row>
    <row r="72" spans="35:39" x14ac:dyDescent="0.2">
      <c r="AI72" s="38"/>
      <c r="AJ72" s="53"/>
    </row>
    <row r="73" spans="35:39" x14ac:dyDescent="0.2">
      <c r="AI73" s="38"/>
      <c r="AJ73" s="53"/>
    </row>
    <row r="74" spans="35:39" x14ac:dyDescent="0.2">
      <c r="AI74" s="38"/>
      <c r="AJ74" s="53"/>
    </row>
    <row r="75" spans="35:39" x14ac:dyDescent="0.2">
      <c r="AI75" s="38"/>
      <c r="AJ75" s="53"/>
    </row>
    <row r="76" spans="35:39" x14ac:dyDescent="0.2">
      <c r="AI76" s="38"/>
      <c r="AJ76" s="53"/>
    </row>
    <row r="77" spans="35:39" x14ac:dyDescent="0.2">
      <c r="AI77" s="38"/>
      <c r="AJ77" s="53"/>
    </row>
    <row r="78" spans="35:39" x14ac:dyDescent="0.2">
      <c r="AI78" s="38"/>
      <c r="AJ78" s="53"/>
    </row>
    <row r="79" spans="35:39" x14ac:dyDescent="0.2">
      <c r="AI79" s="38"/>
      <c r="AJ79" s="53"/>
    </row>
    <row r="80" spans="35:39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2026-01-13T13:44:03Z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