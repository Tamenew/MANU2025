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20434FD6-871B-431F-8FAE-1A4046961A0D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<sst xmlns="http://schemas.openxmlformats.org/spreadsheetml/2006/main" count="861" uniqueCount="214">
  <si>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</si>
  <si>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</si>
  <si>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</si>
  <si>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</si>
  <si>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</si>
  <si>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</si>
  <si>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</si>
  <si>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</si>
  <si>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</si>
  <si>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</si>
  <si>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</si>
  <si>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</si>
  <si>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</si>
  <si>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</si>
  <si>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</si>
  <si>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</si>
  <si>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</si>
  <si>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</si>
  <si>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</si>
  <si>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</si>
  <si>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</si>
  <si>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</si>
  <si>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</si>
  <si>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</si>
  <si>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</si>
  <si>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</si>
  <si>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</si>
  <si>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</si>
  <si>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</si>
  <si>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</si>
  <si>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</si>
  <si>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</si>
  <si>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</si>
  <si>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</si>
  <si>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</si>
  <si>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</si>
  <si>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</si>
  <si>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</si>
  <si>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</si>
  <si>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</si>
  <si>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</si>
  <si>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</si>
  <si>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</si>
  <si>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</si>
  <si>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</si>
  <si>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</si>
  <si>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</si>
  <si>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</si>
  <si>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</si>
  <si>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</si>
  <si>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</si>
  <si>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</si>
  <si>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</si>
  <si>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</si>
  <si>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</si>
  <si>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</si>
  <si>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</si>
  <si>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</si>
  <si>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</si>
  <si>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</si>
  <si>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</si>
  <si>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</si>
  <si>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</si>
  <si>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</si>
  <si>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</si>
  <si>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</si>
  <si>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</si>
  <si>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</si>
  <si>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</si>
  <si>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</si>
  <si>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</si>
  <si>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</si>
  <si>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</si>
  <si>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</si>
  <si>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</si>
  <si>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</si>
  <si>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</si>
  <si>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</si>
  <si>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</si>
  <si>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</si>
  <si>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</si>
  <si>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</si>
  <si>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</si>
  <si>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</si>
  <si>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</si>
  <si>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</si>
  <si>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</si>
  <si>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</si>
  <si>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</si>
  <si>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</si>
  <si>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</si>
  <si>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</si>
  <si>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</si>
  <si>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</si>
  <si>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</si>
  <si>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</si>
  <si>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</si>
  <si>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</si>
  <si>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</si>
  <si>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</si>
  <si>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</si>
  <si>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</si>
  <si>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</si>
  <si>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</si>
  <si>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</si>
  <si>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</si>
  <si>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</si>
  <si>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</si>
  <si>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</si>
  <si>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</si>
  <si>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</si>
  <si>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</si>
  <si>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</si>
  <si>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</si>
  <si>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</si>
  <si>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</si>
  <si>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</si>
  <si>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</si>
  <si>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</si>
  <si>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</si>
  <si>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</si>
  <si>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</si>
  <si>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</si>
  <si>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</si>
  <si>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</si>
  <si>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</si>
  <si>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</si>
  <si>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</si>
  <si>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</si>
  <si>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</si>
  <si>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</si>
  <si>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</si>
  <si>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</si>
  <si>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</si>
  <si>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</si>
  <si>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</si>
  <si>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</si>
  <si>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</si>
  <si>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</si>
  <si>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</si>
  <si>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</si>
  <si>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</si>
  <si>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</si>
  <si>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</si>
  <si>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</si>
  <si>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</si>
  <si>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</si>
  <si>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</si>
  <si>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</si>
  <si>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</si>
  <si>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</si>
  <si>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</si>
  <si>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</si>
  <si>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</si>
  <si>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</si>
  <si>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</si>
  <si>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</si>
  <si>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</si>
  <si>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</si>
  <si>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</si>
  <si>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</si>
  <si>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</si>
  <si>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</si>
  <si>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</si>
  <si>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</si>
  <si>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</si>
  <si>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</si>
  <si>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</si>
  <si>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</si>
  <si>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</si>
  <si>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</si>
  <si>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</si>
  <si>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</si>
  <si>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</si>
  <si>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</si>
  <si>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</si>
  <si>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</si>
  <si>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</si>
  <si>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</si>
  <si>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</si>
  <si>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</si>
  <si>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</si>
  <si>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</si>
  <si>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</si>
  <si>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</si>
  <si>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</si>
  <si>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</si>
  <si>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</si>
  <si>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</si>
  <si>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</si>
  <si>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</si>
  <si>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</si>
  <si>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</si>
  <si>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</si>
  <si>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</si>
  <si>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</si>
  <si>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</si>
  <si>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</si>
  <si>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</si>
  <si>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</si>
  <si>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</si>
  <si>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</si>
  <si>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</si>
  <si>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SOLELC</t>
  </si>
  <si>
    <t>Electricity from solar</t>
  </si>
  <si>
    <t>Electrcity from wind</t>
  </si>
  <si>
    <t>WNDELC</t>
  </si>
  <si>
    <t>DECELC</t>
  </si>
  <si>
    <t>Decenteralized electricity</t>
  </si>
  <si>
    <t>Cset_CN</t>
  </si>
  <si>
    <t>Pset_CN</t>
  </si>
  <si>
    <t>FX</t>
  </si>
  <si>
    <t>~TFM_DINS</t>
  </si>
  <si>
    <t>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</si>
</sst>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9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2" borderId="2" xfId="0" applyFont="1" applyFill="1" applyBorder="1" applyAlignment="1">
      <alignment vertical="center"/>
    </xf>
    <xf numFmtId="0" fontId="6" fillId="0" borderId="0" xfId="0" applyFont="1"/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179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179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179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179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196</v>
      </c>
      <c r="Q8" s="37" t="s">
        <v>197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179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198</v>
      </c>
      <c r="Q28" s="1" t="s">
        <v>201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199</v>
      </c>
      <c r="Q29" s="14" t="s">
        <v>200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W144"/>
  <sheetViews>
    <sheetView tabSelected="1" topLeftCell="AF7" zoomScale="118" zoomScaleNormal="118" workbookViewId="0">
      <selection activeCell="AQ21" sqref="AQ21:AQ68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6" width="8.77734375" style="46"/>
    <col min="37" max="37" width="16" style="46" bestFit="1" customWidth="1"/>
    <col min="38" max="40" width="8.77734375" style="46"/>
    <col min="41" max="41" width="13.21875" style="46" bestFit="1" customWidth="1"/>
    <col min="42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180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31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31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31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203</v>
      </c>
      <c r="Y8" s="79" t="s">
        <v>204</v>
      </c>
      <c r="Z8" s="79" t="s">
        <v>58</v>
      </c>
      <c r="AB8" s="79" t="s">
        <v>88</v>
      </c>
      <c r="AE8" s="80"/>
    </row>
    <row r="9" spans="2:31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206</v>
      </c>
      <c r="Y9" s="79" t="s">
        <v>205</v>
      </c>
      <c r="Z9" s="79" t="s">
        <v>58</v>
      </c>
      <c r="AB9" s="79" t="s">
        <v>88</v>
      </c>
      <c r="AE9" s="80"/>
    </row>
    <row r="10" spans="2:31" ht="15.6" x14ac:dyDescent="0.3">
      <c r="B10" s="54"/>
      <c r="C10" s="54"/>
      <c r="D10" s="54"/>
      <c r="E10" s="54"/>
      <c r="F10" s="54"/>
      <c r="G10" s="54"/>
      <c r="AE10" s="47"/>
    </row>
    <row r="11" spans="2:31" x14ac:dyDescent="0.25">
      <c r="AE11" s="47"/>
    </row>
    <row r="13" spans="2:31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31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31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</row>
    <row r="17" spans="2:49" ht="24" customHeight="1" x14ac:dyDescent="0.25">
      <c r="B17" s="57" t="s">
        <v>1</v>
      </c>
      <c r="C17" s="57" t="s">
        <v>3</v>
      </c>
      <c r="D17" s="57" t="s">
        <v>4</v>
      </c>
      <c r="E17" s="58" t="s">
        <v>189</v>
      </c>
      <c r="F17" s="59" t="s">
        <v>182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191</v>
      </c>
      <c r="P17" s="60" t="s">
        <v>192</v>
      </c>
      <c r="Q17" s="60" t="s">
        <v>193</v>
      </c>
      <c r="R17" s="60" t="s">
        <v>194</v>
      </c>
      <c r="S17" s="60"/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 s="74" t="s">
        <v>212</v>
      </c>
      <c r="AJ17"/>
      <c r="AK17"/>
      <c r="AM17" s="74"/>
      <c r="AN17" s="74"/>
      <c r="AO17" s="1"/>
      <c r="AP17"/>
      <c r="AQ17" s="74" t="s">
        <v>212</v>
      </c>
      <c r="AR17"/>
      <c r="AS17"/>
      <c r="AT17" s="74"/>
      <c r="AU17" s="74"/>
      <c r="AV17" s="74"/>
      <c r="AW17" s="1"/>
    </row>
    <row r="18" spans="2:49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190</v>
      </c>
      <c r="P18" s="33" t="s">
        <v>190</v>
      </c>
      <c r="Q18" s="33" t="s">
        <v>190</v>
      </c>
      <c r="R18" s="76" t="s">
        <v>190</v>
      </c>
      <c r="S18" s="76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81" t="s">
        <v>130</v>
      </c>
      <c r="AJ18" s="81" t="s">
        <v>55</v>
      </c>
      <c r="AK18" s="81" t="s">
        <v>209</v>
      </c>
      <c r="AL18" s="81" t="s">
        <v>202</v>
      </c>
      <c r="AM18" s="81" t="s">
        <v>11</v>
      </c>
      <c r="AN18" s="81" t="s">
        <v>210</v>
      </c>
      <c r="AO18" s="81" t="s">
        <v>121</v>
      </c>
      <c r="AP18"/>
      <c r="AQ18" s="81" t="s">
        <v>130</v>
      </c>
      <c r="AR18" s="81" t="s">
        <v>55</v>
      </c>
      <c r="AS18" s="81" t="s">
        <v>209</v>
      </c>
      <c r="AT18" s="81" t="s">
        <v>202</v>
      </c>
      <c r="AU18" s="81" t="s">
        <v>11</v>
      </c>
      <c r="AV18" s="81" t="s">
        <v>210</v>
      </c>
      <c r="AW18" s="81" t="s">
        <v>121</v>
      </c>
    </row>
    <row r="19" spans="2:49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181</v>
      </c>
      <c r="K19" s="36"/>
      <c r="L19" s="35" t="s">
        <v>179</v>
      </c>
      <c r="M19" s="36"/>
      <c r="N19" s="36" t="s">
        <v>124</v>
      </c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83" t="s">
        <v>81</v>
      </c>
      <c r="AJ19" s="83"/>
      <c r="AK19" s="84"/>
      <c r="AL19" s="83"/>
      <c r="AM19" s="83"/>
      <c r="AN19" s="83"/>
      <c r="AO19" s="83"/>
      <c r="AP19"/>
      <c r="AQ19" s="83" t="s">
        <v>81</v>
      </c>
      <c r="AR19" s="83"/>
      <c r="AS19" s="84"/>
      <c r="AT19" s="84"/>
      <c r="AU19" s="84"/>
      <c r="AV19" s="84"/>
      <c r="AW19" s="83"/>
    </row>
    <row r="20" spans="2:49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9"/>
      <c r="G20" s="65">
        <v>1</v>
      </c>
      <c r="H20" s="65">
        <v>1</v>
      </c>
      <c r="I20" s="44">
        <v>25</v>
      </c>
      <c r="J20" s="65">
        <v>81</v>
      </c>
      <c r="K20" s="65">
        <v>0</v>
      </c>
      <c r="L20" s="65">
        <v>0.24</v>
      </c>
      <c r="M20" s="65">
        <v>8.76</v>
      </c>
      <c r="N20" s="44"/>
      <c r="O20" s="44"/>
      <c r="P20" s="44"/>
      <c r="Q20" s="44"/>
      <c r="R20" s="69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 s="83" t="s">
        <v>53</v>
      </c>
      <c r="AJ20" s="83"/>
      <c r="AK20" s="83"/>
      <c r="AL20" s="83" t="s">
        <v>202</v>
      </c>
      <c r="AM20" s="83"/>
      <c r="AN20" s="83"/>
      <c r="AO20" s="83"/>
      <c r="AP20"/>
      <c r="AQ20" s="83" t="s">
        <v>53</v>
      </c>
      <c r="AR20" s="83"/>
      <c r="AS20" s="83"/>
      <c r="AT20" s="83" t="s">
        <v>202</v>
      </c>
      <c r="AU20" s="83"/>
      <c r="AV20" s="83"/>
      <c r="AW20" s="83"/>
    </row>
    <row r="21" spans="2:49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9"/>
      <c r="G21" s="65">
        <v>0.8</v>
      </c>
      <c r="H21" s="65">
        <v>0.98</v>
      </c>
      <c r="I21" s="44">
        <v>25</v>
      </c>
      <c r="J21" s="65">
        <v>797.9</v>
      </c>
      <c r="K21" s="65">
        <v>48.48</v>
      </c>
      <c r="L21" s="65">
        <v>3.75</v>
      </c>
      <c r="M21" s="65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 t="s">
        <v>213</v>
      </c>
      <c r="AJ21">
        <v>2030</v>
      </c>
      <c r="AK21" s="39" t="s">
        <v>206</v>
      </c>
      <c r="AL21" s="39" t="s">
        <v>131</v>
      </c>
      <c r="AM21" s="46" t="s">
        <v>211</v>
      </c>
      <c r="AN21" s="46" t="s">
        <v>93</v>
      </c>
      <c r="AO21" s="46">
        <v>3.3051976250754521E-3</v>
      </c>
      <c r="AP21"/>
      <c r="AQ21" t="s">
        <v>213</v>
      </c>
      <c r="AR21">
        <v>2030</v>
      </c>
      <c r="AS21" s="39" t="s">
        <v>203</v>
      </c>
      <c r="AT21" s="39" t="s">
        <v>131</v>
      </c>
      <c r="AU21" s="46" t="s">
        <v>211</v>
      </c>
      <c r="AV21" s="46" t="s">
        <v>94</v>
      </c>
      <c r="AW21" s="46">
        <v>0</v>
      </c>
    </row>
    <row r="22" spans="2:49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9"/>
      <c r="G22" s="65">
        <v>0.8</v>
      </c>
      <c r="H22" s="65">
        <v>1</v>
      </c>
      <c r="I22" s="44">
        <v>25</v>
      </c>
      <c r="J22" s="65">
        <v>112.9</v>
      </c>
      <c r="K22" s="65">
        <v>14.26</v>
      </c>
      <c r="L22" s="65">
        <v>1.22</v>
      </c>
      <c r="M22" s="65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 t="s">
        <v>213</v>
      </c>
      <c r="AJ22">
        <v>2030</v>
      </c>
      <c r="AK22" s="39" t="s">
        <v>206</v>
      </c>
      <c r="AL22" s="39" t="s">
        <v>132</v>
      </c>
      <c r="AM22" s="46" t="s">
        <v>211</v>
      </c>
      <c r="AN22" s="46" t="s">
        <v>93</v>
      </c>
      <c r="AO22" s="46">
        <v>3.1618331753269246E-3</v>
      </c>
      <c r="AP22" s="82"/>
      <c r="AQ22" t="s">
        <v>213</v>
      </c>
      <c r="AR22">
        <v>2030</v>
      </c>
      <c r="AS22" s="39" t="s">
        <v>203</v>
      </c>
      <c r="AT22" s="39" t="s">
        <v>132</v>
      </c>
      <c r="AU22" s="46" t="s">
        <v>211</v>
      </c>
      <c r="AV22" s="46" t="s">
        <v>94</v>
      </c>
      <c r="AW22" s="46">
        <v>0</v>
      </c>
    </row>
    <row r="23" spans="2:49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69"/>
      <c r="G23" s="65">
        <v>0.55000000000000004</v>
      </c>
      <c r="H23" s="65">
        <v>0.98</v>
      </c>
      <c r="I23" s="44">
        <v>25</v>
      </c>
      <c r="J23" s="65">
        <v>297.10000000000002</v>
      </c>
      <c r="K23" s="65">
        <v>4.46</v>
      </c>
      <c r="L23" s="65">
        <v>0.45</v>
      </c>
      <c r="M23" s="65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 t="s">
        <v>213</v>
      </c>
      <c r="AJ23">
        <v>2030</v>
      </c>
      <c r="AK23" s="39" t="s">
        <v>206</v>
      </c>
      <c r="AL23" s="39" t="s">
        <v>133</v>
      </c>
      <c r="AM23" s="46" t="s">
        <v>211</v>
      </c>
      <c r="AN23" s="46" t="s">
        <v>93</v>
      </c>
      <c r="AO23" s="46">
        <v>2.8979409360310663E-3</v>
      </c>
      <c r="AP23" s="46"/>
      <c r="AQ23" t="s">
        <v>213</v>
      </c>
      <c r="AR23">
        <v>2030</v>
      </c>
      <c r="AS23" s="39" t="s">
        <v>203</v>
      </c>
      <c r="AT23" s="39" t="s">
        <v>133</v>
      </c>
      <c r="AU23" s="46" t="s">
        <v>211</v>
      </c>
      <c r="AV23" s="46" t="s">
        <v>94</v>
      </c>
      <c r="AW23" s="47">
        <v>0</v>
      </c>
    </row>
    <row r="24" spans="2:49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69"/>
      <c r="G24" s="65">
        <v>1</v>
      </c>
      <c r="H24" s="65">
        <v>0.99</v>
      </c>
      <c r="I24" s="44">
        <v>25</v>
      </c>
      <c r="J24" s="65">
        <v>61.4</v>
      </c>
      <c r="K24" s="65">
        <v>2.57</v>
      </c>
      <c r="L24" s="65">
        <v>1.35</v>
      </c>
      <c r="M24" s="65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 t="s">
        <v>213</v>
      </c>
      <c r="AJ24">
        <v>2030</v>
      </c>
      <c r="AK24" s="39" t="s">
        <v>206</v>
      </c>
      <c r="AL24" s="39" t="s">
        <v>134</v>
      </c>
      <c r="AM24" s="46" t="s">
        <v>211</v>
      </c>
      <c r="AN24" s="46" t="s">
        <v>93</v>
      </c>
      <c r="AO24" s="46">
        <v>2.7156926103261707E-3</v>
      </c>
      <c r="AP24" s="46"/>
      <c r="AQ24" t="s">
        <v>213</v>
      </c>
      <c r="AR24">
        <v>2030</v>
      </c>
      <c r="AS24" s="39" t="s">
        <v>203</v>
      </c>
      <c r="AT24" s="39" t="s">
        <v>134</v>
      </c>
      <c r="AU24" s="46" t="s">
        <v>211</v>
      </c>
      <c r="AV24" s="46" t="s">
        <v>94</v>
      </c>
      <c r="AW24" s="47">
        <v>0</v>
      </c>
    </row>
    <row r="25" spans="2:49" s="47" customFormat="1" x14ac:dyDescent="0.25">
      <c r="B25" s="51" t="str">
        <f>X26</f>
        <v>WNDTRBN</v>
      </c>
      <c r="C25" s="46" t="str">
        <f>PRI_Sector_Fuels!D28</f>
        <v>WIND</v>
      </c>
      <c r="D25" s="51" t="s">
        <v>206</v>
      </c>
      <c r="E25" s="44">
        <v>2030</v>
      </c>
      <c r="F25" s="69">
        <v>0.2</v>
      </c>
      <c r="G25" s="65"/>
      <c r="H25" s="65">
        <v>0.97</v>
      </c>
      <c r="I25" s="44">
        <v>25</v>
      </c>
      <c r="J25" s="65">
        <v>1041</v>
      </c>
      <c r="K25" s="65">
        <v>38</v>
      </c>
      <c r="L25" s="65"/>
      <c r="M25" s="65">
        <v>8.76</v>
      </c>
      <c r="N25" s="69"/>
      <c r="O25" s="65">
        <v>0.23</v>
      </c>
      <c r="P25" s="65">
        <v>0.28000000000000003</v>
      </c>
      <c r="Q25" s="65">
        <v>0.38</v>
      </c>
      <c r="R25" s="69">
        <v>0.5</v>
      </c>
      <c r="S25" s="44"/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 t="s">
        <v>213</v>
      </c>
      <c r="AJ25">
        <v>2030</v>
      </c>
      <c r="AK25" s="39" t="s">
        <v>206</v>
      </c>
      <c r="AL25" s="39" t="s">
        <v>135</v>
      </c>
      <c r="AM25" s="46" t="s">
        <v>211</v>
      </c>
      <c r="AN25" s="46" t="s">
        <v>93</v>
      </c>
      <c r="AO25" s="46">
        <v>2.5452192095824343E-3</v>
      </c>
      <c r="AQ25" t="s">
        <v>213</v>
      </c>
      <c r="AR25">
        <v>2030</v>
      </c>
      <c r="AS25" s="39" t="s">
        <v>203</v>
      </c>
      <c r="AT25" s="39" t="s">
        <v>135</v>
      </c>
      <c r="AU25" s="46" t="s">
        <v>211</v>
      </c>
      <c r="AV25" s="46" t="s">
        <v>94</v>
      </c>
      <c r="AW25" s="47">
        <v>0</v>
      </c>
    </row>
    <row r="26" spans="2:49" s="47" customFormat="1" x14ac:dyDescent="0.25">
      <c r="B26" s="51" t="str">
        <f>X27</f>
        <v>SOLPV</v>
      </c>
      <c r="C26" s="46" t="str">
        <f>PRI_Sector_Fuels!D29</f>
        <v>SOLAR</v>
      </c>
      <c r="D26" s="51" t="s">
        <v>203</v>
      </c>
      <c r="E26" s="44">
        <v>2030</v>
      </c>
      <c r="F26" s="69">
        <v>0.2</v>
      </c>
      <c r="G26" s="65"/>
      <c r="H26" s="65">
        <v>0.99</v>
      </c>
      <c r="I26" s="44">
        <v>25</v>
      </c>
      <c r="J26" s="65">
        <v>691</v>
      </c>
      <c r="K26" s="65">
        <v>6.99</v>
      </c>
      <c r="L26" s="65"/>
      <c r="M26" s="65">
        <v>8.76</v>
      </c>
      <c r="N26" s="69"/>
      <c r="O26" s="65">
        <v>0.23</v>
      </c>
      <c r="P26" s="65">
        <v>0.28000000000000003</v>
      </c>
      <c r="Q26" s="65">
        <v>0.38</v>
      </c>
      <c r="R26" s="69">
        <v>0.5</v>
      </c>
      <c r="S26" s="44"/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 t="s">
        <v>213</v>
      </c>
      <c r="AJ26">
        <v>2030</v>
      </c>
      <c r="AK26" s="39" t="s">
        <v>206</v>
      </c>
      <c r="AL26" s="39" t="s">
        <v>136</v>
      </c>
      <c r="AM26" s="46" t="s">
        <v>211</v>
      </c>
      <c r="AN26" s="46" t="s">
        <v>93</v>
      </c>
      <c r="AO26" s="46">
        <v>2.5834450529081338E-3</v>
      </c>
      <c r="AQ26" t="s">
        <v>213</v>
      </c>
      <c r="AR26">
        <v>2030</v>
      </c>
      <c r="AS26" s="39" t="s">
        <v>203</v>
      </c>
      <c r="AT26" s="39" t="s">
        <v>136</v>
      </c>
      <c r="AU26" s="46" t="s">
        <v>211</v>
      </c>
      <c r="AV26" s="46" t="s">
        <v>94</v>
      </c>
      <c r="AW26" s="47">
        <v>0</v>
      </c>
    </row>
    <row r="27" spans="2:49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69">
        <v>0.2</v>
      </c>
      <c r="G27" s="65"/>
      <c r="H27" s="65">
        <v>1</v>
      </c>
      <c r="I27" s="44">
        <v>25</v>
      </c>
      <c r="J27" s="65">
        <v>3677</v>
      </c>
      <c r="K27" s="65"/>
      <c r="L27" s="65">
        <v>14</v>
      </c>
      <c r="M27" s="65">
        <v>8.76</v>
      </c>
      <c r="N27" s="69"/>
      <c r="O27" s="65">
        <v>0.23</v>
      </c>
      <c r="P27" s="65">
        <v>0.28000000000000003</v>
      </c>
      <c r="Q27" s="65">
        <v>0.38</v>
      </c>
      <c r="R27" s="69">
        <v>0.5</v>
      </c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 t="s">
        <v>213</v>
      </c>
      <c r="AJ27">
        <v>2030</v>
      </c>
      <c r="AK27" s="39" t="s">
        <v>206</v>
      </c>
      <c r="AL27" s="39" t="s">
        <v>137</v>
      </c>
      <c r="AM27" s="46" t="s">
        <v>211</v>
      </c>
      <c r="AN27" s="46" t="s">
        <v>93</v>
      </c>
      <c r="AO27" s="46">
        <v>2.7432881310744317E-3</v>
      </c>
      <c r="AQ27" t="s">
        <v>213</v>
      </c>
      <c r="AR27">
        <v>2030</v>
      </c>
      <c r="AS27" s="39" t="s">
        <v>203</v>
      </c>
      <c r="AT27" s="39" t="s">
        <v>137</v>
      </c>
      <c r="AU27" s="46" t="s">
        <v>211</v>
      </c>
      <c r="AV27" s="46" t="s">
        <v>94</v>
      </c>
      <c r="AW27" s="47">
        <v>6.9165519713261618E-3</v>
      </c>
    </row>
    <row r="28" spans="2:49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69">
        <v>0.2</v>
      </c>
      <c r="G28" s="65">
        <v>1</v>
      </c>
      <c r="H28" s="65">
        <v>1</v>
      </c>
      <c r="I28" s="44">
        <v>100</v>
      </c>
      <c r="J28" s="65">
        <v>0</v>
      </c>
      <c r="K28" s="65"/>
      <c r="L28" s="65"/>
      <c r="M28" s="65">
        <v>8.76</v>
      </c>
      <c r="N28" s="69"/>
      <c r="O28" s="65">
        <v>0.23</v>
      </c>
      <c r="P28" s="65">
        <v>0.28000000000000003</v>
      </c>
      <c r="Q28" s="65">
        <v>0.38</v>
      </c>
      <c r="R28" s="69">
        <v>0.5</v>
      </c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 t="s">
        <v>213</v>
      </c>
      <c r="AJ28">
        <v>2030</v>
      </c>
      <c r="AK28" s="39" t="s">
        <v>206</v>
      </c>
      <c r="AL28" s="39" t="s">
        <v>138</v>
      </c>
      <c r="AM28" s="46" t="s">
        <v>211</v>
      </c>
      <c r="AN28" s="46" t="s">
        <v>93</v>
      </c>
      <c r="AO28" s="46">
        <v>2.8314721319216154E-3</v>
      </c>
      <c r="AQ28" t="s">
        <v>213</v>
      </c>
      <c r="AR28">
        <v>2030</v>
      </c>
      <c r="AS28" s="39" t="s">
        <v>203</v>
      </c>
      <c r="AT28" s="39" t="s">
        <v>138</v>
      </c>
      <c r="AU28" s="46" t="s">
        <v>211</v>
      </c>
      <c r="AV28" s="46" t="s">
        <v>94</v>
      </c>
      <c r="AW28" s="47">
        <v>4.9742853046594968E-2</v>
      </c>
    </row>
    <row r="29" spans="2:49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69">
        <v>0.1</v>
      </c>
      <c r="G29" s="65">
        <v>1</v>
      </c>
      <c r="H29" s="65">
        <v>1</v>
      </c>
      <c r="I29" s="44">
        <v>100</v>
      </c>
      <c r="J29" s="65">
        <v>0</v>
      </c>
      <c r="K29" s="65"/>
      <c r="L29" s="65"/>
      <c r="M29" s="65">
        <v>8.76</v>
      </c>
      <c r="N29" s="69"/>
      <c r="O29" s="65">
        <v>0.14000000000000001</v>
      </c>
      <c r="P29" s="65">
        <v>0.22</v>
      </c>
      <c r="Q29" s="65">
        <v>0.34</v>
      </c>
      <c r="R29" s="69">
        <v>0.5</v>
      </c>
      <c r="S29" s="44"/>
      <c r="V29" s="47" t="s">
        <v>69</v>
      </c>
      <c r="X29" s="47" t="s">
        <v>207</v>
      </c>
      <c r="Y29" s="47" t="s">
        <v>208</v>
      </c>
      <c r="Z29" s="47" t="s">
        <v>58</v>
      </c>
      <c r="AA29" s="47" t="s">
        <v>87</v>
      </c>
      <c r="AB29" s="47" t="s">
        <v>88</v>
      </c>
      <c r="AI29" t="s">
        <v>213</v>
      </c>
      <c r="AJ29">
        <v>2030</v>
      </c>
      <c r="AK29" s="39" t="s">
        <v>206</v>
      </c>
      <c r="AL29" s="39" t="s">
        <v>139</v>
      </c>
      <c r="AM29" s="46" t="s">
        <v>211</v>
      </c>
      <c r="AN29" s="46" t="s">
        <v>93</v>
      </c>
      <c r="AO29" s="46">
        <v>2.8141143326017269E-3</v>
      </c>
      <c r="AQ29" t="s">
        <v>213</v>
      </c>
      <c r="AR29">
        <v>2030</v>
      </c>
      <c r="AS29" s="39" t="s">
        <v>203</v>
      </c>
      <c r="AT29" s="39" t="s">
        <v>139</v>
      </c>
      <c r="AU29" s="46" t="s">
        <v>211</v>
      </c>
      <c r="AV29" s="46" t="s">
        <v>94</v>
      </c>
      <c r="AW29" s="47">
        <v>0.12554577777777776</v>
      </c>
    </row>
    <row r="30" spans="2:49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69">
        <v>0.2</v>
      </c>
      <c r="G30" s="65">
        <v>1</v>
      </c>
      <c r="H30" s="65">
        <v>1</v>
      </c>
      <c r="I30" s="44">
        <v>100</v>
      </c>
      <c r="J30" s="65">
        <v>0</v>
      </c>
      <c r="K30" s="65"/>
      <c r="L30" s="65"/>
      <c r="M30" s="65">
        <v>8.76</v>
      </c>
      <c r="N30" s="69"/>
      <c r="O30" s="65">
        <v>0.23</v>
      </c>
      <c r="P30" s="65">
        <v>0.28000000000000003</v>
      </c>
      <c r="Q30" s="65">
        <v>0.38</v>
      </c>
      <c r="R30" s="69">
        <v>0.5</v>
      </c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 t="s">
        <v>213</v>
      </c>
      <c r="AJ30">
        <v>2030</v>
      </c>
      <c r="AK30" s="39" t="s">
        <v>206</v>
      </c>
      <c r="AL30" s="39" t="s">
        <v>140</v>
      </c>
      <c r="AM30" s="46" t="s">
        <v>211</v>
      </c>
      <c r="AN30" s="46" t="s">
        <v>93</v>
      </c>
      <c r="AO30" s="46">
        <v>2.6656478128544076E-3</v>
      </c>
      <c r="AQ30" t="s">
        <v>213</v>
      </c>
      <c r="AR30">
        <v>2030</v>
      </c>
      <c r="AS30" s="39" t="s">
        <v>203</v>
      </c>
      <c r="AT30" s="39" t="s">
        <v>140</v>
      </c>
      <c r="AU30" s="46" t="s">
        <v>211</v>
      </c>
      <c r="AV30" s="46" t="s">
        <v>94</v>
      </c>
      <c r="AW30" s="47">
        <v>0.2058007025089606</v>
      </c>
    </row>
    <row r="31" spans="2:49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69"/>
      <c r="G31" s="65"/>
      <c r="H31" s="65">
        <v>1</v>
      </c>
      <c r="I31" s="44">
        <v>100</v>
      </c>
      <c r="J31" s="65">
        <v>0</v>
      </c>
      <c r="K31" s="65"/>
      <c r="L31" s="65"/>
      <c r="M31" s="65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 t="s">
        <v>213</v>
      </c>
      <c r="AJ31">
        <v>2030</v>
      </c>
      <c r="AK31" s="39" t="s">
        <v>206</v>
      </c>
      <c r="AL31" s="39" t="s">
        <v>141</v>
      </c>
      <c r="AM31" s="46" t="s">
        <v>211</v>
      </c>
      <c r="AN31" s="46" t="s">
        <v>93</v>
      </c>
      <c r="AO31" s="46">
        <v>2.4530677112863486E-3</v>
      </c>
      <c r="AQ31" t="s">
        <v>213</v>
      </c>
      <c r="AR31">
        <v>2030</v>
      </c>
      <c r="AS31" s="39" t="s">
        <v>203</v>
      </c>
      <c r="AT31" s="39" t="s">
        <v>141</v>
      </c>
      <c r="AU31" s="46" t="s">
        <v>211</v>
      </c>
      <c r="AV31" s="46" t="s">
        <v>94</v>
      </c>
      <c r="AW31" s="47">
        <v>0.27468446594982077</v>
      </c>
    </row>
    <row r="32" spans="2:49" s="47" customFormat="1" x14ac:dyDescent="0.25">
      <c r="B32" s="51" t="s">
        <v>207</v>
      </c>
      <c r="C32" s="51" t="s">
        <v>206</v>
      </c>
      <c r="D32" s="51" t="s">
        <v>69</v>
      </c>
      <c r="E32" s="44">
        <v>2030</v>
      </c>
      <c r="F32" s="66"/>
      <c r="G32" s="47">
        <v>1</v>
      </c>
      <c r="H32" s="47">
        <v>1</v>
      </c>
      <c r="I32" s="44">
        <v>100</v>
      </c>
      <c r="J32" s="65">
        <v>0</v>
      </c>
      <c r="K32" s="46"/>
      <c r="M32" s="65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 t="s">
        <v>213</v>
      </c>
      <c r="AJ32">
        <v>2030</v>
      </c>
      <c r="AK32" s="39" t="s">
        <v>206</v>
      </c>
      <c r="AL32" s="39" t="s">
        <v>142</v>
      </c>
      <c r="AM32" s="46" t="s">
        <v>211</v>
      </c>
      <c r="AN32" s="46" t="s">
        <v>93</v>
      </c>
      <c r="AO32" s="46">
        <v>2.1363241345921055E-3</v>
      </c>
      <c r="AQ32" t="s">
        <v>213</v>
      </c>
      <c r="AR32">
        <v>2030</v>
      </c>
      <c r="AS32" s="39" t="s">
        <v>203</v>
      </c>
      <c r="AT32" s="39" t="s">
        <v>142</v>
      </c>
      <c r="AU32" s="46" t="s">
        <v>211</v>
      </c>
      <c r="AV32" s="46" t="s">
        <v>94</v>
      </c>
      <c r="AW32" s="47">
        <v>0.32637437275985665</v>
      </c>
    </row>
    <row r="33" spans="2:49" s="47" customFormat="1" x14ac:dyDescent="0.25">
      <c r="B33" s="51" t="s">
        <v>207</v>
      </c>
      <c r="C33" s="51" t="s">
        <v>203</v>
      </c>
      <c r="D33" s="51" t="s">
        <v>69</v>
      </c>
      <c r="E33" s="44">
        <v>2030</v>
      </c>
      <c r="F33" s="66"/>
      <c r="G33" s="47">
        <v>1</v>
      </c>
      <c r="H33" s="47">
        <v>1</v>
      </c>
      <c r="I33" s="44">
        <v>100</v>
      </c>
      <c r="J33" s="65">
        <v>0</v>
      </c>
      <c r="K33" s="46"/>
      <c r="M33" s="65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 t="s">
        <v>213</v>
      </c>
      <c r="AJ33">
        <v>2030</v>
      </c>
      <c r="AK33" s="39" t="s">
        <v>206</v>
      </c>
      <c r="AL33" s="39" t="s">
        <v>143</v>
      </c>
      <c r="AM33" s="46" t="s">
        <v>211</v>
      </c>
      <c r="AN33" s="46" t="s">
        <v>93</v>
      </c>
      <c r="AO33" s="46">
        <v>1.8660639529435976E-3</v>
      </c>
      <c r="AQ33" t="s">
        <v>213</v>
      </c>
      <c r="AR33">
        <v>2030</v>
      </c>
      <c r="AS33" s="39" t="s">
        <v>203</v>
      </c>
      <c r="AT33" s="39" t="s">
        <v>143</v>
      </c>
      <c r="AU33" s="46" t="s">
        <v>211</v>
      </c>
      <c r="AV33" s="46" t="s">
        <v>94</v>
      </c>
      <c r="AW33" s="47">
        <v>0.35267560573476697</v>
      </c>
    </row>
    <row r="34" spans="2:49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 t="s">
        <v>213</v>
      </c>
      <c r="AJ34">
        <v>2030</v>
      </c>
      <c r="AK34" s="39" t="s">
        <v>206</v>
      </c>
      <c r="AL34" s="39" t="s">
        <v>144</v>
      </c>
      <c r="AM34" s="46" t="s">
        <v>211</v>
      </c>
      <c r="AN34" s="46" t="s">
        <v>93</v>
      </c>
      <c r="AO34" s="46">
        <v>1.7487528282965712E-3</v>
      </c>
      <c r="AQ34" t="s">
        <v>213</v>
      </c>
      <c r="AR34">
        <v>2030</v>
      </c>
      <c r="AS34" s="39" t="s">
        <v>203</v>
      </c>
      <c r="AT34" s="39" t="s">
        <v>144</v>
      </c>
      <c r="AU34" s="46" t="s">
        <v>211</v>
      </c>
      <c r="AV34" s="46" t="s">
        <v>94</v>
      </c>
      <c r="AW34" s="47">
        <v>0.34322033691756271</v>
      </c>
    </row>
    <row r="35" spans="2:49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 t="s">
        <v>213</v>
      </c>
      <c r="AJ35">
        <v>2030</v>
      </c>
      <c r="AK35" s="39" t="s">
        <v>206</v>
      </c>
      <c r="AL35" s="39" t="s">
        <v>145</v>
      </c>
      <c r="AM35" s="46" t="s">
        <v>211</v>
      </c>
      <c r="AN35" s="46" t="s">
        <v>93</v>
      </c>
      <c r="AO35" s="46">
        <v>1.6637860863902745E-3</v>
      </c>
      <c r="AQ35" t="s">
        <v>213</v>
      </c>
      <c r="AR35">
        <v>2030</v>
      </c>
      <c r="AS35" s="39" t="s">
        <v>203</v>
      </c>
      <c r="AT35" s="39" t="s">
        <v>145</v>
      </c>
      <c r="AU35" s="46" t="s">
        <v>211</v>
      </c>
      <c r="AV35" s="46" t="s">
        <v>94</v>
      </c>
      <c r="AW35" s="47">
        <v>0.30308891039426522</v>
      </c>
    </row>
    <row r="36" spans="2:49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 t="s">
        <v>213</v>
      </c>
      <c r="AJ36">
        <v>2030</v>
      </c>
      <c r="AK36" s="39" t="s">
        <v>206</v>
      </c>
      <c r="AL36" s="39" t="s">
        <v>146</v>
      </c>
      <c r="AM36" s="46" t="s">
        <v>211</v>
      </c>
      <c r="AN36" s="46" t="s">
        <v>93</v>
      </c>
      <c r="AO36" s="46">
        <v>1.8211742012316831E-3</v>
      </c>
      <c r="AQ36" t="s">
        <v>213</v>
      </c>
      <c r="AR36">
        <v>2030</v>
      </c>
      <c r="AS36" s="39" t="s">
        <v>203</v>
      </c>
      <c r="AT36" s="39" t="s">
        <v>146</v>
      </c>
      <c r="AU36" s="46" t="s">
        <v>211</v>
      </c>
      <c r="AV36" s="46" t="s">
        <v>94</v>
      </c>
      <c r="AW36" s="47">
        <v>0.23170381362007167</v>
      </c>
    </row>
    <row r="37" spans="2:49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 t="s">
        <v>213</v>
      </c>
      <c r="AJ37">
        <v>2030</v>
      </c>
      <c r="AK37" s="39" t="s">
        <v>206</v>
      </c>
      <c r="AL37" s="39" t="s">
        <v>147</v>
      </c>
      <c r="AM37" s="46" t="s">
        <v>211</v>
      </c>
      <c r="AN37" s="46" t="s">
        <v>93</v>
      </c>
      <c r="AO37" s="46">
        <v>1.9153018835258307E-3</v>
      </c>
      <c r="AQ37" t="s">
        <v>213</v>
      </c>
      <c r="AR37">
        <v>2030</v>
      </c>
      <c r="AS37" s="39" t="s">
        <v>203</v>
      </c>
      <c r="AT37" s="39" t="s">
        <v>147</v>
      </c>
      <c r="AU37" s="46" t="s">
        <v>211</v>
      </c>
      <c r="AV37" s="46" t="s">
        <v>94</v>
      </c>
      <c r="AW37" s="47">
        <v>0.14172651612903225</v>
      </c>
    </row>
    <row r="38" spans="2:49" x14ac:dyDescent="0.25">
      <c r="F38" s="68"/>
      <c r="G38" s="44"/>
      <c r="H38" s="70"/>
      <c r="W38" s="47"/>
      <c r="Y38" s="47"/>
      <c r="Z38" s="55"/>
      <c r="AA38" s="55"/>
      <c r="AI38" t="s">
        <v>213</v>
      </c>
      <c r="AJ38">
        <v>2030</v>
      </c>
      <c r="AK38" s="39" t="s">
        <v>206</v>
      </c>
      <c r="AL38" s="39" t="s">
        <v>148</v>
      </c>
      <c r="AM38" s="46" t="s">
        <v>211</v>
      </c>
      <c r="AN38" s="46" t="s">
        <v>93</v>
      </c>
      <c r="AO38" s="46">
        <v>1.9744590518638132E-3</v>
      </c>
      <c r="AP38" s="47"/>
      <c r="AQ38" t="s">
        <v>213</v>
      </c>
      <c r="AR38">
        <v>2030</v>
      </c>
      <c r="AS38" s="39" t="s">
        <v>203</v>
      </c>
      <c r="AT38" s="39" t="s">
        <v>148</v>
      </c>
      <c r="AU38" s="46" t="s">
        <v>211</v>
      </c>
      <c r="AV38" s="46" t="s">
        <v>94</v>
      </c>
      <c r="AW38" s="46">
        <v>5.3895483870967743E-2</v>
      </c>
    </row>
    <row r="39" spans="2:49" x14ac:dyDescent="0.25">
      <c r="H39" s="70"/>
      <c r="AI39" t="s">
        <v>213</v>
      </c>
      <c r="AJ39">
        <v>2030</v>
      </c>
      <c r="AK39" s="39" t="s">
        <v>206</v>
      </c>
      <c r="AL39" s="39" t="s">
        <v>149</v>
      </c>
      <c r="AM39" s="46" t="s">
        <v>211</v>
      </c>
      <c r="AN39" s="46" t="s">
        <v>93</v>
      </c>
      <c r="AO39" s="46">
        <v>2.1878436160058393E-3</v>
      </c>
      <c r="AP39" s="47"/>
      <c r="AQ39" t="s">
        <v>213</v>
      </c>
      <c r="AR39">
        <v>2030</v>
      </c>
      <c r="AS39" s="39" t="s">
        <v>203</v>
      </c>
      <c r="AT39" s="39" t="s">
        <v>149</v>
      </c>
      <c r="AU39" s="46" t="s">
        <v>211</v>
      </c>
      <c r="AV39" s="46" t="s">
        <v>94</v>
      </c>
      <c r="AW39" s="46">
        <v>2.6301935483870969E-3</v>
      </c>
    </row>
    <row r="40" spans="2:49" x14ac:dyDescent="0.25">
      <c r="B40" s="71"/>
      <c r="C40" s="46" t="s">
        <v>82</v>
      </c>
      <c r="H40" s="70"/>
      <c r="AI40" t="s">
        <v>213</v>
      </c>
      <c r="AJ40">
        <v>2030</v>
      </c>
      <c r="AK40" s="39" t="s">
        <v>206</v>
      </c>
      <c r="AL40" s="39" t="s">
        <v>150</v>
      </c>
      <c r="AM40" s="46" t="s">
        <v>211</v>
      </c>
      <c r="AN40" s="46" t="s">
        <v>93</v>
      </c>
      <c r="AO40" s="46">
        <v>2.3889741533883327E-3</v>
      </c>
      <c r="AQ40" t="s">
        <v>213</v>
      </c>
      <c r="AR40">
        <v>2030</v>
      </c>
      <c r="AS40" s="39" t="s">
        <v>203</v>
      </c>
      <c r="AT40" s="39" t="s">
        <v>150</v>
      </c>
      <c r="AU40" s="46" t="s">
        <v>211</v>
      </c>
      <c r="AV40" s="46" t="s">
        <v>94</v>
      </c>
      <c r="AW40" s="46">
        <v>0</v>
      </c>
    </row>
    <row r="41" spans="2:49" x14ac:dyDescent="0.25">
      <c r="B41" s="72"/>
      <c r="C41" s="46" t="s">
        <v>83</v>
      </c>
      <c r="H41" s="70"/>
      <c r="AI41" t="s">
        <v>213</v>
      </c>
      <c r="AJ41">
        <v>2030</v>
      </c>
      <c r="AK41" s="39" t="s">
        <v>206</v>
      </c>
      <c r="AL41" s="39" t="s">
        <v>151</v>
      </c>
      <c r="AM41" s="46" t="s">
        <v>211</v>
      </c>
      <c r="AN41" s="46" t="s">
        <v>93</v>
      </c>
      <c r="AO41" s="46">
        <v>2.4063426997311056E-3</v>
      </c>
      <c r="AQ41" t="s">
        <v>213</v>
      </c>
      <c r="AR41">
        <v>2030</v>
      </c>
      <c r="AS41" s="39" t="s">
        <v>203</v>
      </c>
      <c r="AT41" s="39" t="s">
        <v>151</v>
      </c>
      <c r="AU41" s="46" t="s">
        <v>211</v>
      </c>
      <c r="AV41" s="46" t="s">
        <v>94</v>
      </c>
      <c r="AW41" s="46">
        <v>0</v>
      </c>
    </row>
    <row r="42" spans="2:49" x14ac:dyDescent="0.25">
      <c r="E42" s="46" t="s">
        <v>89</v>
      </c>
      <c r="F42" s="46" t="s">
        <v>90</v>
      </c>
      <c r="H42" s="70"/>
      <c r="AI42" t="s">
        <v>213</v>
      </c>
      <c r="AJ42">
        <v>2030</v>
      </c>
      <c r="AK42" s="39" t="s">
        <v>206</v>
      </c>
      <c r="AL42" s="39" t="s">
        <v>152</v>
      </c>
      <c r="AM42" s="46" t="s">
        <v>211</v>
      </c>
      <c r="AN42" s="46" t="s">
        <v>93</v>
      </c>
      <c r="AO42" s="46">
        <v>2.5925256698099051E-3</v>
      </c>
      <c r="AQ42" t="s">
        <v>213</v>
      </c>
      <c r="AR42">
        <v>2030</v>
      </c>
      <c r="AS42" s="39" t="s">
        <v>203</v>
      </c>
      <c r="AT42" s="39" t="s">
        <v>152</v>
      </c>
      <c r="AU42" s="46" t="s">
        <v>211</v>
      </c>
      <c r="AV42" s="46" t="s">
        <v>94</v>
      </c>
      <c r="AW42" s="46">
        <v>0</v>
      </c>
    </row>
    <row r="43" spans="2:49" x14ac:dyDescent="0.25">
      <c r="AI43" t="s">
        <v>213</v>
      </c>
      <c r="AJ43">
        <v>2030</v>
      </c>
      <c r="AK43" s="39" t="s">
        <v>206</v>
      </c>
      <c r="AL43" s="39" t="s">
        <v>153</v>
      </c>
      <c r="AM43" s="46" t="s">
        <v>211</v>
      </c>
      <c r="AN43" s="46" t="s">
        <v>93</v>
      </c>
      <c r="AO43" s="46">
        <v>2.9724559200622644E-3</v>
      </c>
      <c r="AQ43" t="s">
        <v>213</v>
      </c>
      <c r="AR43">
        <v>2030</v>
      </c>
      <c r="AS43" s="39" t="s">
        <v>203</v>
      </c>
      <c r="AT43" s="39" t="s">
        <v>153</v>
      </c>
      <c r="AU43" s="46" t="s">
        <v>211</v>
      </c>
      <c r="AV43" s="46" t="s">
        <v>94</v>
      </c>
      <c r="AW43" s="46">
        <v>0</v>
      </c>
    </row>
    <row r="44" spans="2:49" x14ac:dyDescent="0.25">
      <c r="E44" s="46" t="s">
        <v>91</v>
      </c>
      <c r="F44" s="46">
        <f>24*365</f>
        <v>8760</v>
      </c>
      <c r="AI44" t="s">
        <v>213</v>
      </c>
      <c r="AJ44">
        <v>2030</v>
      </c>
      <c r="AK44" s="39" t="s">
        <v>206</v>
      </c>
      <c r="AL44" s="39" t="s">
        <v>154</v>
      </c>
      <c r="AM44" s="46" t="s">
        <v>211</v>
      </c>
      <c r="AN44" s="46" t="s">
        <v>93</v>
      </c>
      <c r="AO44" s="46">
        <v>3.3823091606694387E-3</v>
      </c>
      <c r="AQ44" t="s">
        <v>213</v>
      </c>
      <c r="AR44">
        <v>2030</v>
      </c>
      <c r="AS44" s="39" t="s">
        <v>203</v>
      </c>
      <c r="AT44" s="39" t="s">
        <v>154</v>
      </c>
      <c r="AU44" s="46" t="s">
        <v>211</v>
      </c>
      <c r="AV44" s="46" t="s">
        <v>94</v>
      </c>
      <c r="AW44" s="46">
        <v>0</v>
      </c>
    </row>
    <row r="45" spans="2:49" x14ac:dyDescent="0.25">
      <c r="E45" s="44"/>
      <c r="AI45" t="s">
        <v>213</v>
      </c>
      <c r="AJ45">
        <v>2030</v>
      </c>
      <c r="AK45" s="39" t="s">
        <v>206</v>
      </c>
      <c r="AL45" s="39" t="s">
        <v>155</v>
      </c>
      <c r="AM45" s="46" t="s">
        <v>211</v>
      </c>
      <c r="AN45" s="46" t="s">
        <v>93</v>
      </c>
      <c r="AO45" s="46">
        <v>3.3051976250754521E-3</v>
      </c>
      <c r="AQ45" t="s">
        <v>213</v>
      </c>
      <c r="AR45">
        <v>2030</v>
      </c>
      <c r="AS45" s="39" t="s">
        <v>203</v>
      </c>
      <c r="AT45" s="39" t="s">
        <v>155</v>
      </c>
      <c r="AU45" s="46" t="s">
        <v>211</v>
      </c>
      <c r="AV45" s="46" t="s">
        <v>94</v>
      </c>
      <c r="AW45" s="46">
        <v>0</v>
      </c>
    </row>
    <row r="46" spans="2:49" x14ac:dyDescent="0.25">
      <c r="AI46" t="s">
        <v>213</v>
      </c>
      <c r="AJ46">
        <v>2030</v>
      </c>
      <c r="AK46" s="39" t="s">
        <v>206</v>
      </c>
      <c r="AL46" s="39" t="s">
        <v>156</v>
      </c>
      <c r="AM46" s="46" t="s">
        <v>211</v>
      </c>
      <c r="AN46" s="46" t="s">
        <v>93</v>
      </c>
      <c r="AO46" s="46">
        <v>3.1618331753269246E-3</v>
      </c>
      <c r="AQ46" t="s">
        <v>213</v>
      </c>
      <c r="AR46">
        <v>2030</v>
      </c>
      <c r="AS46" s="39" t="s">
        <v>203</v>
      </c>
      <c r="AT46" s="39" t="s">
        <v>156</v>
      </c>
      <c r="AU46" s="46" t="s">
        <v>211</v>
      </c>
      <c r="AV46" s="46" t="s">
        <v>94</v>
      </c>
      <c r="AW46" s="46">
        <v>0</v>
      </c>
    </row>
    <row r="47" spans="2:49" x14ac:dyDescent="0.25">
      <c r="AI47" t="s">
        <v>213</v>
      </c>
      <c r="AJ47">
        <v>2030</v>
      </c>
      <c r="AK47" s="39" t="s">
        <v>206</v>
      </c>
      <c r="AL47" s="39" t="s">
        <v>157</v>
      </c>
      <c r="AM47" s="46" t="s">
        <v>211</v>
      </c>
      <c r="AN47" s="46" t="s">
        <v>93</v>
      </c>
      <c r="AO47" s="46">
        <v>2.8979409360310663E-3</v>
      </c>
      <c r="AQ47" t="s">
        <v>213</v>
      </c>
      <c r="AR47">
        <v>2030</v>
      </c>
      <c r="AS47" s="39" t="s">
        <v>203</v>
      </c>
      <c r="AT47" s="39" t="s">
        <v>157</v>
      </c>
      <c r="AU47" s="46" t="s">
        <v>211</v>
      </c>
      <c r="AV47" s="46" t="s">
        <v>94</v>
      </c>
      <c r="AW47" s="46">
        <v>0</v>
      </c>
    </row>
    <row r="48" spans="2:49" x14ac:dyDescent="0.25">
      <c r="AI48" t="s">
        <v>213</v>
      </c>
      <c r="AJ48">
        <v>2030</v>
      </c>
      <c r="AK48" s="39" t="s">
        <v>206</v>
      </c>
      <c r="AL48" s="39" t="s">
        <v>158</v>
      </c>
      <c r="AM48" s="46" t="s">
        <v>211</v>
      </c>
      <c r="AN48" s="46" t="s">
        <v>93</v>
      </c>
      <c r="AO48" s="46">
        <v>2.7156926103261707E-3</v>
      </c>
      <c r="AQ48" t="s">
        <v>213</v>
      </c>
      <c r="AR48">
        <v>2030</v>
      </c>
      <c r="AS48" s="39" t="s">
        <v>203</v>
      </c>
      <c r="AT48" s="39" t="s">
        <v>158</v>
      </c>
      <c r="AU48" s="46" t="s">
        <v>211</v>
      </c>
      <c r="AV48" s="46" t="s">
        <v>94</v>
      </c>
      <c r="AW48" s="46">
        <v>0</v>
      </c>
    </row>
    <row r="49" spans="2:49" x14ac:dyDescent="0.25">
      <c r="AI49" t="s">
        <v>213</v>
      </c>
      <c r="AJ49">
        <v>2030</v>
      </c>
      <c r="AK49" s="39" t="s">
        <v>206</v>
      </c>
      <c r="AL49" s="39" t="s">
        <v>159</v>
      </c>
      <c r="AM49" s="46" t="s">
        <v>211</v>
      </c>
      <c r="AN49" s="46" t="s">
        <v>93</v>
      </c>
      <c r="AO49" s="46">
        <v>2.5452192095824343E-3</v>
      </c>
      <c r="AQ49" t="s">
        <v>213</v>
      </c>
      <c r="AR49">
        <v>2030</v>
      </c>
      <c r="AS49" s="39" t="s">
        <v>203</v>
      </c>
      <c r="AT49" s="39" t="s">
        <v>159</v>
      </c>
      <c r="AU49" s="46" t="s">
        <v>211</v>
      </c>
      <c r="AV49" s="46" t="s">
        <v>94</v>
      </c>
      <c r="AW49" s="46">
        <v>0</v>
      </c>
    </row>
    <row r="50" spans="2:49" x14ac:dyDescent="0.25">
      <c r="AI50" t="s">
        <v>213</v>
      </c>
      <c r="AJ50">
        <v>2030</v>
      </c>
      <c r="AK50" s="39" t="s">
        <v>206</v>
      </c>
      <c r="AL50" s="39" t="s">
        <v>160</v>
      </c>
      <c r="AM50" s="46" t="s">
        <v>211</v>
      </c>
      <c r="AN50" s="46" t="s">
        <v>93</v>
      </c>
      <c r="AO50" s="46">
        <v>2.5834450529081338E-3</v>
      </c>
      <c r="AQ50" t="s">
        <v>213</v>
      </c>
      <c r="AR50">
        <v>2030</v>
      </c>
      <c r="AS50" s="39" t="s">
        <v>203</v>
      </c>
      <c r="AT50" s="39" t="s">
        <v>160</v>
      </c>
      <c r="AU50" s="46" t="s">
        <v>211</v>
      </c>
      <c r="AV50" s="46" t="s">
        <v>94</v>
      </c>
      <c r="AW50" s="46">
        <v>0</v>
      </c>
    </row>
    <row r="51" spans="2:49" x14ac:dyDescent="0.25">
      <c r="AI51" t="s">
        <v>213</v>
      </c>
      <c r="AJ51">
        <v>2030</v>
      </c>
      <c r="AK51" s="39" t="s">
        <v>206</v>
      </c>
      <c r="AL51" s="39" t="s">
        <v>161</v>
      </c>
      <c r="AM51" s="46" t="s">
        <v>211</v>
      </c>
      <c r="AN51" s="46" t="s">
        <v>93</v>
      </c>
      <c r="AO51" s="46">
        <v>2.7432881310744317E-3</v>
      </c>
      <c r="AQ51" t="s">
        <v>213</v>
      </c>
      <c r="AR51">
        <v>2030</v>
      </c>
      <c r="AS51" s="39" t="s">
        <v>203</v>
      </c>
      <c r="AT51" s="39" t="s">
        <v>161</v>
      </c>
      <c r="AU51" s="46" t="s">
        <v>211</v>
      </c>
      <c r="AV51" s="46" t="s">
        <v>94</v>
      </c>
      <c r="AW51" s="46">
        <v>6.4190919952210254E-3</v>
      </c>
    </row>
    <row r="52" spans="2:49" x14ac:dyDescent="0.25">
      <c r="B52" s="74" t="s">
        <v>183</v>
      </c>
      <c r="C52" s="74"/>
      <c r="D52"/>
      <c r="E52"/>
      <c r="F52"/>
      <c r="G52"/>
      <c r="H52"/>
      <c r="I52"/>
      <c r="J52"/>
      <c r="K52"/>
      <c r="L52"/>
      <c r="AI52" t="s">
        <v>213</v>
      </c>
      <c r="AJ52">
        <v>2030</v>
      </c>
      <c r="AK52" s="39" t="s">
        <v>206</v>
      </c>
      <c r="AL52" s="39" t="s">
        <v>162</v>
      </c>
      <c r="AM52" s="46" t="s">
        <v>211</v>
      </c>
      <c r="AN52" s="46" t="s">
        <v>93</v>
      </c>
      <c r="AO52" s="46">
        <v>2.8314721319216154E-3</v>
      </c>
      <c r="AQ52" t="s">
        <v>213</v>
      </c>
      <c r="AR52">
        <v>2030</v>
      </c>
      <c r="AS52" s="39" t="s">
        <v>203</v>
      </c>
      <c r="AT52" s="39" t="s">
        <v>162</v>
      </c>
      <c r="AU52" s="46" t="s">
        <v>211</v>
      </c>
      <c r="AV52" s="46" t="s">
        <v>94</v>
      </c>
      <c r="AW52" s="46">
        <v>7.0838474313022717E-2</v>
      </c>
    </row>
    <row r="53" spans="2:49" ht="13.8" thickBot="1" x14ac:dyDescent="0.3">
      <c r="B53" s="75" t="s">
        <v>184</v>
      </c>
      <c r="C53" s="75" t="s">
        <v>185</v>
      </c>
      <c r="D53" s="75" t="s">
        <v>11</v>
      </c>
      <c r="E53" s="75" t="s">
        <v>130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 t="s">
        <v>213</v>
      </c>
      <c r="AJ53">
        <v>2030</v>
      </c>
      <c r="AK53" s="39" t="s">
        <v>206</v>
      </c>
      <c r="AL53" s="39" t="s">
        <v>163</v>
      </c>
      <c r="AM53" s="46" t="s">
        <v>211</v>
      </c>
      <c r="AN53" s="46" t="s">
        <v>93</v>
      </c>
      <c r="AO53" s="46">
        <v>2.8141143326017269E-3</v>
      </c>
      <c r="AQ53" t="s">
        <v>213</v>
      </c>
      <c r="AR53">
        <v>2030</v>
      </c>
      <c r="AS53" s="39" t="s">
        <v>203</v>
      </c>
      <c r="AT53" s="39" t="s">
        <v>163</v>
      </c>
      <c r="AU53" s="46" t="s">
        <v>211</v>
      </c>
      <c r="AV53" s="46" t="s">
        <v>94</v>
      </c>
      <c r="AW53" s="46">
        <v>0.15999428793309439</v>
      </c>
    </row>
    <row r="54" spans="2:49" x14ac:dyDescent="0.25">
      <c r="B54" t="s">
        <v>121</v>
      </c>
      <c r="C54" t="s">
        <v>94</v>
      </c>
      <c r="D54" t="s">
        <v>187</v>
      </c>
      <c r="E54" s="1" t="s">
        <v>188</v>
      </c>
      <c r="F54">
        <v>0</v>
      </c>
      <c r="G54">
        <v>0</v>
      </c>
      <c r="H54"/>
      <c r="I54"/>
      <c r="J54"/>
      <c r="K54"/>
      <c r="L54"/>
      <c r="AI54" t="s">
        <v>213</v>
      </c>
      <c r="AJ54">
        <v>2030</v>
      </c>
      <c r="AK54" s="39" t="s">
        <v>206</v>
      </c>
      <c r="AL54" s="39" t="s">
        <v>164</v>
      </c>
      <c r="AM54" s="46" t="s">
        <v>211</v>
      </c>
      <c r="AN54" s="46" t="s">
        <v>93</v>
      </c>
      <c r="AO54" s="46">
        <v>2.6656478128544076E-3</v>
      </c>
      <c r="AQ54" t="s">
        <v>213</v>
      </c>
      <c r="AR54">
        <v>2030</v>
      </c>
      <c r="AS54" s="39" t="s">
        <v>203</v>
      </c>
      <c r="AT54" s="39" t="s">
        <v>164</v>
      </c>
      <c r="AU54" s="46" t="s">
        <v>211</v>
      </c>
      <c r="AV54" s="46" t="s">
        <v>94</v>
      </c>
      <c r="AW54" s="46">
        <v>0.25343209199522099</v>
      </c>
    </row>
    <row r="55" spans="2:49" x14ac:dyDescent="0.25">
      <c r="B55" t="s">
        <v>121</v>
      </c>
      <c r="C55" t="s">
        <v>93</v>
      </c>
      <c r="D55" t="s">
        <v>187</v>
      </c>
      <c r="E55" s="1" t="s">
        <v>188</v>
      </c>
      <c r="F55">
        <v>0</v>
      </c>
      <c r="G55">
        <v>0</v>
      </c>
      <c r="H55"/>
      <c r="I55"/>
      <c r="J55"/>
      <c r="K55"/>
      <c r="L55"/>
      <c r="AI55" t="s">
        <v>213</v>
      </c>
      <c r="AJ55">
        <v>2030</v>
      </c>
      <c r="AK55" s="39" t="s">
        <v>206</v>
      </c>
      <c r="AL55" s="39" t="s">
        <v>165</v>
      </c>
      <c r="AM55" s="46" t="s">
        <v>211</v>
      </c>
      <c r="AN55" s="46" t="s">
        <v>93</v>
      </c>
      <c r="AO55" s="46">
        <v>2.4530677112863486E-3</v>
      </c>
      <c r="AQ55" t="s">
        <v>213</v>
      </c>
      <c r="AR55">
        <v>2030</v>
      </c>
      <c r="AS55" s="39" t="s">
        <v>203</v>
      </c>
      <c r="AT55" s="39" t="s">
        <v>165</v>
      </c>
      <c r="AU55" s="46" t="s">
        <v>211</v>
      </c>
      <c r="AV55" s="46" t="s">
        <v>94</v>
      </c>
      <c r="AW55" s="46">
        <v>0.32960197968936678</v>
      </c>
    </row>
    <row r="56" spans="2:49" x14ac:dyDescent="0.25">
      <c r="B56" t="s">
        <v>121</v>
      </c>
      <c r="C56" t="s">
        <v>65</v>
      </c>
      <c r="D56" t="s">
        <v>187</v>
      </c>
      <c r="E56" s="1" t="s">
        <v>188</v>
      </c>
      <c r="F56">
        <v>0</v>
      </c>
      <c r="G56">
        <v>0</v>
      </c>
      <c r="H56"/>
      <c r="I56"/>
      <c r="J56"/>
      <c r="K56"/>
      <c r="L56"/>
      <c r="AI56" t="s">
        <v>213</v>
      </c>
      <c r="AJ56">
        <v>2030</v>
      </c>
      <c r="AK56" s="39" t="s">
        <v>206</v>
      </c>
      <c r="AL56" s="39" t="s">
        <v>166</v>
      </c>
      <c r="AM56" s="46" t="s">
        <v>211</v>
      </c>
      <c r="AN56" s="46" t="s">
        <v>93</v>
      </c>
      <c r="AO56" s="46">
        <v>2.1363241345921055E-3</v>
      </c>
      <c r="AQ56" t="s">
        <v>213</v>
      </c>
      <c r="AR56">
        <v>2030</v>
      </c>
      <c r="AS56" s="39" t="s">
        <v>203</v>
      </c>
      <c r="AT56" s="39" t="s">
        <v>166</v>
      </c>
      <c r="AU56" s="46" t="s">
        <v>211</v>
      </c>
      <c r="AV56" s="46" t="s">
        <v>94</v>
      </c>
      <c r="AW56" s="46">
        <v>0.37592762246117079</v>
      </c>
    </row>
    <row r="57" spans="2:49" x14ac:dyDescent="0.25">
      <c r="B57" t="s">
        <v>121</v>
      </c>
      <c r="C57" t="s">
        <v>186</v>
      </c>
      <c r="D57" t="s">
        <v>187</v>
      </c>
      <c r="E57" s="1" t="s">
        <v>188</v>
      </c>
      <c r="F57">
        <v>0</v>
      </c>
      <c r="G57">
        <v>0</v>
      </c>
      <c r="H57"/>
      <c r="I57"/>
      <c r="J57"/>
      <c r="K57"/>
      <c r="L57"/>
      <c r="AI57" t="s">
        <v>213</v>
      </c>
      <c r="AJ57">
        <v>2030</v>
      </c>
      <c r="AK57" s="39" t="s">
        <v>206</v>
      </c>
      <c r="AL57" s="39" t="s">
        <v>167</v>
      </c>
      <c r="AM57" s="46" t="s">
        <v>211</v>
      </c>
      <c r="AN57" s="46" t="s">
        <v>93</v>
      </c>
      <c r="AO57" s="46">
        <v>1.8660639529435976E-3</v>
      </c>
      <c r="AQ57" t="s">
        <v>213</v>
      </c>
      <c r="AR57">
        <v>2030</v>
      </c>
      <c r="AS57" s="39" t="s">
        <v>203</v>
      </c>
      <c r="AT57" s="39" t="s">
        <v>167</v>
      </c>
      <c r="AU57" s="46" t="s">
        <v>211</v>
      </c>
      <c r="AV57" s="46" t="s">
        <v>94</v>
      </c>
      <c r="AW57" s="46">
        <v>0.38776096057347664</v>
      </c>
    </row>
    <row r="58" spans="2:49" x14ac:dyDescent="0.25">
      <c r="B58" t="s">
        <v>121</v>
      </c>
      <c r="C58" t="s">
        <v>102</v>
      </c>
      <c r="D58" t="s">
        <v>187</v>
      </c>
      <c r="E58" s="1" t="s">
        <v>188</v>
      </c>
      <c r="F58">
        <v>0</v>
      </c>
      <c r="G58">
        <v>0</v>
      </c>
      <c r="H58"/>
      <c r="I58"/>
      <c r="J58"/>
      <c r="K58"/>
      <c r="L58"/>
      <c r="AI58" t="s">
        <v>213</v>
      </c>
      <c r="AJ58">
        <v>2030</v>
      </c>
      <c r="AK58" s="39" t="s">
        <v>206</v>
      </c>
      <c r="AL58" s="39" t="s">
        <v>168</v>
      </c>
      <c r="AM58" s="46" t="s">
        <v>211</v>
      </c>
      <c r="AN58" s="46" t="s">
        <v>93</v>
      </c>
      <c r="AO58" s="46">
        <v>1.7487528282965712E-3</v>
      </c>
      <c r="AQ58" t="s">
        <v>213</v>
      </c>
      <c r="AR58">
        <v>2030</v>
      </c>
      <c r="AS58" s="39" t="s">
        <v>203</v>
      </c>
      <c r="AT58" s="39" t="s">
        <v>168</v>
      </c>
      <c r="AU58" s="46" t="s">
        <v>211</v>
      </c>
      <c r="AV58" s="46" t="s">
        <v>94</v>
      </c>
      <c r="AW58" s="46">
        <v>0.36426783751493425</v>
      </c>
    </row>
    <row r="59" spans="2:49" x14ac:dyDescent="0.25">
      <c r="B59" t="s">
        <v>121</v>
      </c>
      <c r="C59" t="s">
        <v>105</v>
      </c>
      <c r="D59" t="s">
        <v>187</v>
      </c>
      <c r="E59" s="1" t="s">
        <v>188</v>
      </c>
      <c r="F59">
        <v>0</v>
      </c>
      <c r="G59">
        <v>0</v>
      </c>
      <c r="H59"/>
      <c r="I59"/>
      <c r="J59"/>
      <c r="K59"/>
      <c r="L59"/>
      <c r="AI59" t="s">
        <v>213</v>
      </c>
      <c r="AJ59">
        <v>2030</v>
      </c>
      <c r="AK59" s="39" t="s">
        <v>206</v>
      </c>
      <c r="AL59" s="39" t="s">
        <v>169</v>
      </c>
      <c r="AM59" s="46" t="s">
        <v>211</v>
      </c>
      <c r="AN59" s="46" t="s">
        <v>93</v>
      </c>
      <c r="AO59" s="46">
        <v>1.6637860863902745E-3</v>
      </c>
      <c r="AQ59" t="s">
        <v>213</v>
      </c>
      <c r="AR59">
        <v>2030</v>
      </c>
      <c r="AS59" s="39" t="s">
        <v>203</v>
      </c>
      <c r="AT59" s="39" t="s">
        <v>169</v>
      </c>
      <c r="AU59" s="46" t="s">
        <v>211</v>
      </c>
      <c r="AV59" s="46" t="s">
        <v>94</v>
      </c>
      <c r="AW59" s="46">
        <v>0.31009156033452806</v>
      </c>
    </row>
    <row r="60" spans="2:49" x14ac:dyDescent="0.25">
      <c r="B60" t="s">
        <v>121</v>
      </c>
      <c r="C60" t="s">
        <v>66</v>
      </c>
      <c r="D60" t="s">
        <v>187</v>
      </c>
      <c r="E60" s="1" t="s">
        <v>188</v>
      </c>
      <c r="F60">
        <v>0</v>
      </c>
      <c r="G60">
        <v>0</v>
      </c>
      <c r="H60"/>
      <c r="I60"/>
      <c r="J60"/>
      <c r="K60"/>
      <c r="L60"/>
      <c r="AI60" t="s">
        <v>213</v>
      </c>
      <c r="AJ60">
        <v>2030</v>
      </c>
      <c r="AK60" s="39" t="s">
        <v>206</v>
      </c>
      <c r="AL60" s="39" t="s">
        <v>170</v>
      </c>
      <c r="AM60" s="46" t="s">
        <v>211</v>
      </c>
      <c r="AN60" s="46" t="s">
        <v>93</v>
      </c>
      <c r="AO60" s="46">
        <v>1.8211742012316831E-3</v>
      </c>
      <c r="AQ60" t="s">
        <v>213</v>
      </c>
      <c r="AR60">
        <v>2030</v>
      </c>
      <c r="AS60" s="39" t="s">
        <v>203</v>
      </c>
      <c r="AT60" s="39" t="s">
        <v>170</v>
      </c>
      <c r="AU60" s="46" t="s">
        <v>211</v>
      </c>
      <c r="AV60" s="46" t="s">
        <v>94</v>
      </c>
      <c r="AW60" s="46">
        <v>0.23188419952210276</v>
      </c>
    </row>
    <row r="61" spans="2:49" x14ac:dyDescent="0.25">
      <c r="B61" t="s">
        <v>121</v>
      </c>
      <c r="C61" t="s">
        <v>103</v>
      </c>
      <c r="D61" t="s">
        <v>187</v>
      </c>
      <c r="E61" s="1" t="s">
        <v>188</v>
      </c>
      <c r="F61">
        <v>0</v>
      </c>
      <c r="G61">
        <v>0</v>
      </c>
      <c r="H61"/>
      <c r="I61"/>
      <c r="J61"/>
      <c r="K61"/>
      <c r="L61"/>
      <c r="AI61" t="s">
        <v>213</v>
      </c>
      <c r="AJ61">
        <v>2030</v>
      </c>
      <c r="AK61" s="39" t="s">
        <v>206</v>
      </c>
      <c r="AL61" s="39" t="s">
        <v>171</v>
      </c>
      <c r="AM61" s="46" t="s">
        <v>211</v>
      </c>
      <c r="AN61" s="46" t="s">
        <v>93</v>
      </c>
      <c r="AO61" s="46">
        <v>1.9153018835258307E-3</v>
      </c>
      <c r="AQ61" t="s">
        <v>213</v>
      </c>
      <c r="AR61">
        <v>2030</v>
      </c>
      <c r="AS61" s="39" t="s">
        <v>203</v>
      </c>
      <c r="AT61" s="39" t="s">
        <v>171</v>
      </c>
      <c r="AU61" s="46" t="s">
        <v>211</v>
      </c>
      <c r="AV61" s="46" t="s">
        <v>94</v>
      </c>
      <c r="AW61" s="46">
        <v>0.13618056033452808</v>
      </c>
    </row>
    <row r="62" spans="2:49" x14ac:dyDescent="0.25">
      <c r="AI62" t="s">
        <v>213</v>
      </c>
      <c r="AJ62">
        <v>2030</v>
      </c>
      <c r="AK62" s="39" t="s">
        <v>206</v>
      </c>
      <c r="AL62" s="39" t="s">
        <v>172</v>
      </c>
      <c r="AM62" s="46" t="s">
        <v>211</v>
      </c>
      <c r="AN62" s="46" t="s">
        <v>93</v>
      </c>
      <c r="AO62" s="46">
        <v>1.9744590518638132E-3</v>
      </c>
      <c r="AQ62" t="s">
        <v>213</v>
      </c>
      <c r="AR62">
        <v>2030</v>
      </c>
      <c r="AS62" s="39" t="s">
        <v>203</v>
      </c>
      <c r="AT62" s="39" t="s">
        <v>172</v>
      </c>
      <c r="AU62" s="46" t="s">
        <v>211</v>
      </c>
      <c r="AV62" s="46" t="s">
        <v>94</v>
      </c>
      <c r="AW62" s="46">
        <v>4.9357593787335743E-2</v>
      </c>
    </row>
    <row r="63" spans="2:49" x14ac:dyDescent="0.25">
      <c r="AI63" t="s">
        <v>213</v>
      </c>
      <c r="AJ63">
        <v>2030</v>
      </c>
      <c r="AK63" s="39" t="s">
        <v>206</v>
      </c>
      <c r="AL63" s="39" t="s">
        <v>173</v>
      </c>
      <c r="AM63" s="46" t="s">
        <v>211</v>
      </c>
      <c r="AN63" s="46" t="s">
        <v>93</v>
      </c>
      <c r="AO63" s="46">
        <v>2.1878436160058393E-3</v>
      </c>
      <c r="AQ63" t="s">
        <v>213</v>
      </c>
      <c r="AR63">
        <v>2030</v>
      </c>
      <c r="AS63" s="39" t="s">
        <v>203</v>
      </c>
      <c r="AT63" s="39" t="s">
        <v>173</v>
      </c>
      <c r="AU63" s="46" t="s">
        <v>211</v>
      </c>
      <c r="AV63" s="46" t="s">
        <v>94</v>
      </c>
      <c r="AW63" s="46">
        <v>7.5268817204301086E-6</v>
      </c>
    </row>
    <row r="64" spans="2:49" x14ac:dyDescent="0.25">
      <c r="AI64" t="s">
        <v>213</v>
      </c>
      <c r="AJ64">
        <v>2030</v>
      </c>
      <c r="AK64" s="39" t="s">
        <v>206</v>
      </c>
      <c r="AL64" s="39" t="s">
        <v>174</v>
      </c>
      <c r="AM64" s="46" t="s">
        <v>211</v>
      </c>
      <c r="AN64" s="46" t="s">
        <v>93</v>
      </c>
      <c r="AO64" s="46">
        <v>2.3889741533883327E-3</v>
      </c>
      <c r="AQ64" t="s">
        <v>213</v>
      </c>
      <c r="AR64">
        <v>2030</v>
      </c>
      <c r="AS64" s="39" t="s">
        <v>203</v>
      </c>
      <c r="AT64" s="39" t="s">
        <v>174</v>
      </c>
      <c r="AU64" s="46" t="s">
        <v>211</v>
      </c>
      <c r="AV64" s="46" t="s">
        <v>94</v>
      </c>
      <c r="AW64" s="46">
        <v>0</v>
      </c>
    </row>
    <row r="65" spans="1:49" x14ac:dyDescent="0.25">
      <c r="AI65" t="s">
        <v>213</v>
      </c>
      <c r="AJ65">
        <v>2030</v>
      </c>
      <c r="AK65" s="39" t="s">
        <v>206</v>
      </c>
      <c r="AL65" s="39" t="s">
        <v>175</v>
      </c>
      <c r="AM65" s="46" t="s">
        <v>211</v>
      </c>
      <c r="AN65" s="46" t="s">
        <v>93</v>
      </c>
      <c r="AO65" s="46">
        <v>2.4063426997311056E-3</v>
      </c>
      <c r="AQ65" t="s">
        <v>213</v>
      </c>
      <c r="AR65">
        <v>2030</v>
      </c>
      <c r="AS65" s="39" t="s">
        <v>203</v>
      </c>
      <c r="AT65" s="39" t="s">
        <v>175</v>
      </c>
      <c r="AU65" s="46" t="s">
        <v>211</v>
      </c>
      <c r="AV65" s="46" t="s">
        <v>94</v>
      </c>
      <c r="AW65" s="46">
        <v>0</v>
      </c>
    </row>
    <row r="66" spans="1:49" x14ac:dyDescent="0.25">
      <c r="AI66" t="s">
        <v>213</v>
      </c>
      <c r="AJ66">
        <v>2030</v>
      </c>
      <c r="AK66" s="39" t="s">
        <v>206</v>
      </c>
      <c r="AL66" s="39" t="s">
        <v>176</v>
      </c>
      <c r="AM66" s="46" t="s">
        <v>211</v>
      </c>
      <c r="AN66" s="46" t="s">
        <v>93</v>
      </c>
      <c r="AO66" s="46">
        <v>2.5925256698099051E-3</v>
      </c>
      <c r="AQ66" t="s">
        <v>213</v>
      </c>
      <c r="AR66">
        <v>2030</v>
      </c>
      <c r="AS66" s="39" t="s">
        <v>203</v>
      </c>
      <c r="AT66" s="39" t="s">
        <v>176</v>
      </c>
      <c r="AU66" s="46" t="s">
        <v>211</v>
      </c>
      <c r="AV66" s="46" t="s">
        <v>94</v>
      </c>
      <c r="AW66" s="46">
        <v>0</v>
      </c>
    </row>
    <row r="67" spans="1:49" x14ac:dyDescent="0.25">
      <c r="A67" s="74"/>
      <c r="B67"/>
      <c r="C67"/>
      <c r="E67" s="74"/>
      <c r="F67" s="74"/>
      <c r="G67" s="1"/>
      <c r="H67"/>
      <c r="I67" s="74"/>
      <c r="J67"/>
      <c r="K67"/>
      <c r="L67" s="74"/>
      <c r="M67" s="74"/>
      <c r="N67" s="74"/>
      <c r="O67" s="1"/>
      <c r="AI67" t="s">
        <v>213</v>
      </c>
      <c r="AJ67">
        <v>2030</v>
      </c>
      <c r="AK67" s="39" t="s">
        <v>206</v>
      </c>
      <c r="AL67" s="39" t="s">
        <v>177</v>
      </c>
      <c r="AM67" s="46" t="s">
        <v>211</v>
      </c>
      <c r="AN67" s="46" t="s">
        <v>93</v>
      </c>
      <c r="AO67" s="46">
        <v>2.9724559200622644E-3</v>
      </c>
      <c r="AQ67" t="s">
        <v>213</v>
      </c>
      <c r="AR67">
        <v>2030</v>
      </c>
      <c r="AS67" s="39" t="s">
        <v>203</v>
      </c>
      <c r="AT67" s="39" t="s">
        <v>177</v>
      </c>
      <c r="AU67" s="46" t="s">
        <v>211</v>
      </c>
      <c r="AV67" s="46" t="s">
        <v>94</v>
      </c>
      <c r="AW67" s="46">
        <v>0</v>
      </c>
    </row>
    <row r="68" spans="1:49" s="47" customFormat="1" x14ac:dyDescent="0.25">
      <c r="A68" s="85"/>
      <c r="B68" s="85"/>
      <c r="C68" s="85"/>
      <c r="D68" s="85"/>
      <c r="E68" s="85"/>
      <c r="F68" s="85"/>
      <c r="G68" s="85"/>
      <c r="H68" s="86"/>
      <c r="I68" s="85"/>
      <c r="J68" s="85"/>
      <c r="K68" s="85"/>
      <c r="L68" s="85"/>
      <c r="M68" s="85"/>
      <c r="N68" s="85"/>
      <c r="O68" s="85"/>
      <c r="AI68" t="s">
        <v>213</v>
      </c>
      <c r="AJ68" s="86">
        <v>2030</v>
      </c>
      <c r="AK68" s="39" t="s">
        <v>206</v>
      </c>
      <c r="AL68" s="42" t="s">
        <v>178</v>
      </c>
      <c r="AM68" s="46" t="s">
        <v>211</v>
      </c>
      <c r="AN68" s="46" t="s">
        <v>93</v>
      </c>
      <c r="AO68" s="47">
        <v>3.3823091606694387E-3</v>
      </c>
      <c r="AQ68" t="s">
        <v>213</v>
      </c>
      <c r="AR68" s="86">
        <v>2030</v>
      </c>
      <c r="AS68" s="39" t="s">
        <v>203</v>
      </c>
      <c r="AT68" s="42" t="s">
        <v>178</v>
      </c>
      <c r="AU68" s="46" t="s">
        <v>211</v>
      </c>
      <c r="AV68" s="46" t="s">
        <v>94</v>
      </c>
      <c r="AW68" s="47">
        <v>0</v>
      </c>
    </row>
    <row r="69" spans="1:49" s="47" customFormat="1" x14ac:dyDescent="0.25">
      <c r="A69" s="87"/>
      <c r="B69" s="87"/>
      <c r="C69" s="88"/>
      <c r="D69" s="87"/>
      <c r="E69" s="87"/>
      <c r="F69" s="87"/>
      <c r="G69" s="87"/>
      <c r="H69" s="86"/>
      <c r="I69" s="87"/>
      <c r="J69" s="87"/>
      <c r="K69" s="88"/>
      <c r="L69" s="88"/>
      <c r="M69" s="88"/>
      <c r="N69" s="88"/>
      <c r="O69" s="87"/>
      <c r="AI69" s="43"/>
      <c r="AJ69" s="43"/>
      <c r="AK69" s="55"/>
    </row>
    <row r="70" spans="1:49" s="47" customFormat="1" x14ac:dyDescent="0.25">
      <c r="A70" s="87"/>
      <c r="B70" s="87"/>
      <c r="C70" s="87"/>
      <c r="D70" s="87"/>
      <c r="E70" s="87"/>
      <c r="F70" s="87"/>
      <c r="G70" s="87"/>
      <c r="H70" s="86"/>
      <c r="I70" s="87"/>
      <c r="J70" s="87"/>
      <c r="K70" s="87"/>
      <c r="L70" s="87"/>
      <c r="M70" s="87"/>
      <c r="N70" s="87"/>
      <c r="O70" s="87"/>
      <c r="AI70" s="43"/>
      <c r="AJ70" s="43"/>
      <c r="AK70" s="55"/>
    </row>
    <row r="71" spans="1:49" x14ac:dyDescent="0.25">
      <c r="A71"/>
      <c r="B71"/>
      <c r="C71" s="39"/>
      <c r="D71" s="39"/>
      <c r="H71"/>
      <c r="I71"/>
      <c r="J71"/>
      <c r="K71" s="39"/>
      <c r="L71" s="39"/>
      <c r="AI71" s="38"/>
      <c r="AJ71" s="38"/>
      <c r="AK71" s="51"/>
    </row>
    <row r="72" spans="1:49" x14ac:dyDescent="0.25">
      <c r="A72"/>
      <c r="B72"/>
      <c r="C72" s="39"/>
      <c r="D72" s="39"/>
      <c r="H72" s="82"/>
      <c r="I72"/>
      <c r="J72"/>
      <c r="K72" s="39"/>
      <c r="L72" s="39"/>
      <c r="AI72" s="38"/>
      <c r="AJ72" s="38"/>
      <c r="AK72" s="51"/>
    </row>
    <row r="73" spans="1:49" x14ac:dyDescent="0.25">
      <c r="A73"/>
      <c r="B73"/>
      <c r="C73" s="39"/>
      <c r="D73" s="39"/>
      <c r="I73"/>
      <c r="J73"/>
      <c r="K73" s="39"/>
      <c r="L73" s="39"/>
      <c r="O73" s="47"/>
      <c r="AI73" s="38"/>
      <c r="AJ73" s="38"/>
      <c r="AK73" s="51"/>
    </row>
    <row r="74" spans="1:49" x14ac:dyDescent="0.25">
      <c r="A74"/>
      <c r="B74"/>
      <c r="C74" s="39"/>
      <c r="D74" s="39"/>
      <c r="I74"/>
      <c r="J74"/>
      <c r="K74" s="39"/>
      <c r="L74" s="39"/>
      <c r="O74" s="47"/>
      <c r="AI74" s="38"/>
      <c r="AJ74" s="38"/>
      <c r="AK74" s="51"/>
    </row>
    <row r="75" spans="1:49" x14ac:dyDescent="0.25">
      <c r="A75"/>
      <c r="B75"/>
      <c r="C75" s="39"/>
      <c r="D75" s="39"/>
      <c r="H75" s="47"/>
      <c r="I75"/>
      <c r="J75"/>
      <c r="K75" s="39"/>
      <c r="L75" s="39"/>
      <c r="O75" s="47"/>
      <c r="AI75" s="38"/>
      <c r="AJ75" s="38"/>
      <c r="AK75" s="51"/>
    </row>
    <row r="76" spans="1:49" x14ac:dyDescent="0.25">
      <c r="A76"/>
      <c r="B76"/>
      <c r="C76" s="39"/>
      <c r="D76" s="39"/>
      <c r="H76" s="47"/>
      <c r="I76"/>
      <c r="J76"/>
      <c r="K76" s="39"/>
      <c r="L76" s="39"/>
      <c r="O76" s="47"/>
      <c r="AI76" s="38"/>
      <c r="AJ76" s="38"/>
      <c r="AK76" s="51"/>
    </row>
    <row r="77" spans="1:49" x14ac:dyDescent="0.25">
      <c r="A77"/>
      <c r="B77"/>
      <c r="C77" s="39"/>
      <c r="D77" s="39"/>
      <c r="H77" s="47"/>
      <c r="I77"/>
      <c r="J77"/>
      <c r="K77" s="39"/>
      <c r="L77" s="39"/>
      <c r="O77" s="47"/>
      <c r="AI77" s="38"/>
      <c r="AJ77" s="38"/>
      <c r="AK77" s="51"/>
    </row>
    <row r="78" spans="1:49" x14ac:dyDescent="0.25">
      <c r="A78"/>
      <c r="B78"/>
      <c r="C78" s="39"/>
      <c r="D78" s="39"/>
      <c r="H78" s="47"/>
      <c r="I78"/>
      <c r="J78"/>
      <c r="K78" s="39"/>
      <c r="L78" s="39"/>
      <c r="O78" s="47"/>
      <c r="AI78" s="38"/>
      <c r="AJ78" s="38"/>
      <c r="AK78" s="51"/>
    </row>
    <row r="79" spans="1:49" x14ac:dyDescent="0.25">
      <c r="A79"/>
      <c r="B79"/>
      <c r="C79" s="39"/>
      <c r="D79" s="39"/>
      <c r="H79" s="47"/>
      <c r="I79"/>
      <c r="J79"/>
      <c r="K79" s="39"/>
      <c r="L79" s="39"/>
      <c r="O79" s="47"/>
      <c r="AI79" s="38"/>
      <c r="AJ79" s="38"/>
      <c r="AK79" s="51"/>
    </row>
    <row r="80" spans="1:49" x14ac:dyDescent="0.25">
      <c r="A80"/>
      <c r="B80"/>
      <c r="C80" s="39"/>
      <c r="D80" s="39"/>
      <c r="H80" s="47"/>
      <c r="I80"/>
      <c r="J80"/>
      <c r="K80" s="39"/>
      <c r="L80" s="39"/>
      <c r="O80" s="47"/>
      <c r="AI80" s="38"/>
      <c r="AJ80" s="38"/>
      <c r="AK80" s="51"/>
    </row>
    <row r="81" spans="1:37" x14ac:dyDescent="0.25">
      <c r="A81"/>
      <c r="B81"/>
      <c r="C81" s="39"/>
      <c r="D81" s="39"/>
      <c r="H81" s="47"/>
      <c r="I81"/>
      <c r="J81"/>
      <c r="K81" s="39"/>
      <c r="L81" s="39"/>
      <c r="O81" s="47"/>
      <c r="AI81" s="38"/>
      <c r="AJ81" s="38"/>
      <c r="AK81" s="51"/>
    </row>
    <row r="82" spans="1:37" x14ac:dyDescent="0.25">
      <c r="A82"/>
      <c r="B82"/>
      <c r="C82" s="39"/>
      <c r="D82" s="39"/>
      <c r="H82" s="47"/>
      <c r="I82"/>
      <c r="J82"/>
      <c r="K82" s="39"/>
      <c r="L82" s="39"/>
      <c r="O82" s="47"/>
      <c r="AI82" s="38"/>
      <c r="AJ82" s="38"/>
      <c r="AK82" s="51"/>
    </row>
    <row r="83" spans="1:37" x14ac:dyDescent="0.25">
      <c r="A83"/>
      <c r="B83"/>
      <c r="C83" s="39"/>
      <c r="D83" s="39"/>
      <c r="H83" s="47"/>
      <c r="I83"/>
      <c r="J83"/>
      <c r="K83" s="39"/>
      <c r="L83" s="39"/>
      <c r="O83" s="47"/>
      <c r="AI83" s="38"/>
      <c r="AJ83" s="38"/>
      <c r="AK83" s="51"/>
    </row>
    <row r="84" spans="1:37" x14ac:dyDescent="0.25">
      <c r="A84"/>
      <c r="B84"/>
      <c r="C84" s="39"/>
      <c r="D84" s="39"/>
      <c r="H84" s="47"/>
      <c r="I84"/>
      <c r="J84"/>
      <c r="K84" s="39"/>
      <c r="L84" s="39"/>
      <c r="O84" s="47"/>
      <c r="AI84" s="38"/>
      <c r="AJ84" s="38"/>
      <c r="AK84" s="51"/>
    </row>
    <row r="85" spans="1:37" x14ac:dyDescent="0.25">
      <c r="A85"/>
      <c r="B85"/>
      <c r="C85" s="39"/>
      <c r="D85" s="39"/>
      <c r="H85" s="47"/>
      <c r="I85"/>
      <c r="J85"/>
      <c r="K85" s="39"/>
      <c r="L85" s="39"/>
      <c r="O85" s="47"/>
      <c r="AI85" s="38"/>
      <c r="AJ85" s="38"/>
      <c r="AK85" s="51"/>
    </row>
    <row r="86" spans="1:37" x14ac:dyDescent="0.25">
      <c r="A86"/>
      <c r="B86"/>
      <c r="C86" s="39"/>
      <c r="D86" s="39"/>
      <c r="H86" s="47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AI89" s="38"/>
      <c r="AJ89" s="38"/>
      <c r="AK89" s="51"/>
    </row>
    <row r="90" spans="1:37" x14ac:dyDescent="0.25">
      <c r="A90"/>
      <c r="B90"/>
      <c r="C90" s="39"/>
      <c r="D90" s="39"/>
      <c r="I90"/>
      <c r="J90"/>
      <c r="K90" s="39"/>
      <c r="L90" s="39"/>
      <c r="AI90" s="38"/>
      <c r="AJ90" s="38"/>
      <c r="AK90" s="51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1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1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1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1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1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1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1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1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1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1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I119" s="38"/>
      <c r="AJ119" s="38"/>
      <c r="AK119" s="51"/>
    </row>
    <row r="120" spans="1:37" x14ac:dyDescent="0.25">
      <c r="AI120" s="38"/>
      <c r="AJ120" s="38"/>
      <c r="AK120" s="51"/>
    </row>
    <row r="121" spans="1:37" x14ac:dyDescent="0.25">
      <c r="AI121" s="38"/>
      <c r="AJ121" s="38"/>
      <c r="AK121" s="51"/>
    </row>
    <row r="122" spans="1:37" x14ac:dyDescent="0.25">
      <c r="AI122" s="38"/>
      <c r="AJ122" s="38"/>
      <c r="AK122" s="51"/>
    </row>
    <row r="123" spans="1:37" x14ac:dyDescent="0.25">
      <c r="AI123" s="38"/>
      <c r="AJ123" s="38"/>
      <c r="AK123" s="51"/>
    </row>
    <row r="124" spans="1:37" x14ac:dyDescent="0.25">
      <c r="AI124" s="38"/>
      <c r="AJ124" s="38"/>
      <c r="AK124" s="51"/>
    </row>
    <row r="125" spans="1:37" x14ac:dyDescent="0.25">
      <c r="AI125" s="38"/>
      <c r="AJ125" s="38"/>
      <c r="AK125" s="51"/>
    </row>
    <row r="126" spans="1:37" x14ac:dyDescent="0.25">
      <c r="AI126" s="38"/>
      <c r="AJ126" s="38"/>
      <c r="AK126" s="51"/>
    </row>
    <row r="127" spans="1:37" x14ac:dyDescent="0.25">
      <c r="AI127" s="38"/>
      <c r="AJ127" s="38"/>
      <c r="AK127" s="51"/>
    </row>
    <row r="128" spans="1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2026-01-26T09:12:45Z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