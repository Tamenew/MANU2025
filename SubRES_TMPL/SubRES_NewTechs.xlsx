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120" documentId="13_ncr:1_{806E99E8-A010-4C95-B80D-4D66E313A9C9}" xr6:coauthVersionLast="47" xr6:coauthVersionMax="47" xr10:uidLastSave="{9867C29A-B4AF-4175-AA6C-314AC4164CA0}"/>
  <bookViews>
    <workbookView xWindow="-28920" yWindow="-120" windowWidth="29040" windowHeight="15720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2" i="7" l="1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<sst xmlns="http://schemas.openxmlformats.org/spreadsheetml/2006/main" count="382" uniqueCount="192">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</sst>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7" formatCode="0.0"/>
  </numFmts>
  <fonts count="2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85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12" fillId="4" borderId="0" xfId="1"/>
    <xf numFmtId="0" fontId="14" fillId="6" borderId="0" xfId="3" applyFont="1" applyFill="1"/>
    <xf numFmtId="0" fontId="6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0" fontId="16" fillId="0" borderId="0" xfId="4" applyFont="1"/>
    <xf numFmtId="1" fontId="5" fillId="0" borderId="0" xfId="4" applyNumberFormat="1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5" fillId="0" borderId="0" xfId="4" applyNumberFormat="1"/>
    <xf numFmtId="2" fontId="16" fillId="0" borderId="0" xfId="4" applyNumberFormat="1" applyFon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165" fontId="16" fillId="0" borderId="0" xfId="0" applyNumberFormat="1" applyFont="1" applyAlignment="1">
      <alignment wrapText="1"/>
    </xf>
    <xf numFmtId="0" fontId="0" fillId="10" borderId="0" xfId="0" applyFill="1"/>
    <xf numFmtId="0" fontId="14" fillId="6" borderId="0" xfId="3" applyFont="1" applyFill="1" applyAlignment="1">
      <alignment wrapText="1"/>
    </xf>
    <xf numFmtId="165" fontId="4" fillId="0" borderId="0" xfId="4" applyNumberFormat="1" applyFont="1"/>
    <xf numFmtId="165" fontId="6" fillId="2" borderId="2" xfId="4" applyNumberFormat="1" applyFont="1" applyFill="1" applyBorder="1" applyAlignment="1">
      <alignment horizontal="left"/>
    </xf>
    <xf numFmtId="165" fontId="6" fillId="2" borderId="3" xfId="4" applyNumberFormat="1" applyFont="1" applyFill="1" applyBorder="1" applyAlignment="1">
      <alignment horizontal="left"/>
    </xf>
    <xf numFmtId="0" fontId="14" fillId="0" borderId="0" xfId="3" applyFont="1" applyFill="1"/>
    <xf numFmtId="165" fontId="15" fillId="3" borderId="1" xfId="20" applyNumberFormat="1" applyFont="1" applyBorder="1" applyAlignment="1">
      <alignment horizontal="left" wrapText="1"/>
    </xf>
    <xf numFmtId="0" fontId="6" fillId="2" borderId="2" xfId="6" applyFont="1" applyFill="1" applyBorder="1" applyAlignment="1">
      <alignment horizontal="center" vertical="center" wrapText="1"/>
    </xf>
    <xf numFmtId="0" fontId="6" fillId="2" borderId="2" xfId="7" applyFont="1" applyFill="1" applyBorder="1" applyAlignment="1">
      <alignment horizontal="center" vertical="center" wrapText="1"/>
    </xf>
    <xf numFmtId="0" fontId="6" fillId="2" borderId="0" xfId="6" applyFont="1" applyFill="1" applyAlignment="1">
      <alignment horizontal="center" vertical="center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0" fontId="5" fillId="7" borderId="0" xfId="4" applyFill="1"/>
    <xf numFmtId="165" fontId="16" fillId="0" borderId="0" xfId="4" applyNumberFormat="1" applyFont="1"/>
    <xf numFmtId="9" fontId="16" fillId="8" borderId="0" xfId="21" applyFont="1" applyFill="1"/>
    <xf numFmtId="0" fontId="16" fillId="8" borderId="0" xfId="4" applyFont="1" applyFill="1"/>
    <xf numFmtId="0" fontId="5" fillId="8" borderId="0" xfId="4" applyFill="1"/>
    <xf numFmtId="9" fontId="5" fillId="0" borderId="0" xfId="4" applyNumberFormat="1"/>
    <xf numFmtId="165" fontId="5" fillId="8" borderId="0" xfId="4" applyNumberFormat="1" applyFill="1"/>
    <xf numFmtId="9" fontId="0" fillId="0" borderId="0" xfId="21" applyFont="1"/>
    <xf numFmtId="0" fontId="5" fillId="10" borderId="0" xfId="4" applyFill="1"/>
    <xf numFmtId="0" fontId="6" fillId="8" borderId="0" xfId="0" applyFont="1" applyFill="1"/>
    <xf numFmtId="165" fontId="21" fillId="0" borderId="0" xfId="0" applyNumberFormat="1" applyFont="1"/>
    <xf numFmtId="165" fontId="5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5" fillId="11" borderId="0" xfId="0" applyFont="1" applyFill="1"/>
    <xf numFmtId="165" fontId="0" fillId="11" borderId="0" xfId="0" applyNumberFormat="1" applyFill="1" applyAlignment="1">
      <alignment wrapText="1"/>
    </xf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7" fontId="16" fillId="8" borderId="0" xfId="4" applyNumberFormat="1" applyFont="1" applyFill="1"/>
    <xf numFmtId="167" fontId="5" fillId="0" borderId="0" xfId="4" applyNumberFormat="1"/>
    <xf numFmtId="1" fontId="16" fillId="0" borderId="0" xfId="4" applyNumberFormat="1" applyFont="1"/>
    <xf numFmtId="165" fontId="15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165" fontId="22" fillId="12" borderId="0" xfId="20" applyNumberFormat="1" applyFont="1" applyFill="1" applyBorder="1" applyAlignment="1">
      <alignment horizontal="left" wrapText="1"/>
    </xf>
    <xf numFmtId="0" fontId="20" fillId="8" borderId="0" xfId="0" applyFont="1" applyFill="1"/>
    <xf numFmtId="0" fontId="4" fillId="0" borderId="0" xfId="0" applyFont="1"/>
    <xf numFmtId="0" fontId="6" fillId="2" borderId="2" xfId="0" applyFont="1" applyFill="1" applyBorder="1" applyAlignment="1">
      <alignment vertical="center"/>
    </xf>
    <xf numFmtId="0" fontId="15" fillId="3" borderId="2" xfId="22" applyFont="1" applyBorder="1" applyAlignment="1">
      <alignment horizontal="left" wrapText="1"/>
    </xf>
    <xf numFmtId="0" fontId="15" fillId="3" borderId="1" xfId="22" applyFont="1" applyBorder="1" applyAlignment="1">
      <alignment horizontal="left" wrapText="1"/>
    </xf>
    <xf numFmtId="0" fontId="5" fillId="0" borderId="5" xfId="4" applyBorder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abSelected="1" zoomScale="96" zoomScaleNormal="96" workbookViewId="0">
      <selection activeCell="O39" sqref="O3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3"/>
      <c r="O8" s="63"/>
      <c r="P8" s="63"/>
      <c r="Q8" s="63"/>
      <c r="R8" s="63"/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3"/>
      <c r="O9" s="63"/>
      <c r="P9" s="63"/>
      <c r="Q9" s="63"/>
      <c r="R9" s="63"/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/>
      <c r="M11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/>
      <c r="M12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/>
      <c r="M1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N25" s="20" t="s">
        <v>82</v>
      </c>
      <c r="O25" s="29" t="s">
        <v>128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16.152193200065501</v>
      </c>
      <c r="J26" s="32"/>
      <c r="K26" s="33">
        <v>8.76</v>
      </c>
      <c r="N26" s="69" t="s">
        <v>64</v>
      </c>
      <c r="O26" s="69"/>
      <c r="P26" s="70" t="s">
        <v>126</v>
      </c>
      <c r="Q26" s="71" t="str">
        <f>"Domestic Supply of "&amp;$D$4&amp;" "</f>
        <v xml:space="preserve">Domestic Supply of Biomass </v>
      </c>
      <c r="R26" s="69" t="s">
        <v>58</v>
      </c>
      <c r="S26" s="69"/>
      <c r="T26" s="69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31.819820604129035</v>
      </c>
      <c r="J27" s="36"/>
      <c r="K27" s="33">
        <v>8.76</v>
      </c>
      <c r="N27" s="69" t="s">
        <v>64</v>
      </c>
      <c r="O27" s="69"/>
      <c r="P27" s="70" t="s">
        <v>127</v>
      </c>
      <c r="Q27" s="71" t="str">
        <f>"Domestic Supply of "&amp;$D$5&amp;" "</f>
        <v xml:space="preserve">Domestic Supply of Ngas </v>
      </c>
      <c r="R27" s="69" t="s">
        <v>58</v>
      </c>
      <c r="S27" s="69"/>
      <c r="T27" s="69"/>
    </row>
    <row r="28" spans="2:22" x14ac:dyDescent="0.2">
      <c r="B28" s="12"/>
      <c r="C28" s="15"/>
      <c r="D28" s="12"/>
      <c r="E28" s="1"/>
      <c r="F28" s="1"/>
      <c r="G28" s="1"/>
      <c r="H28" s="1"/>
      <c r="R28" s="69"/>
      <c r="S28" s="69"/>
      <c r="T28" s="69"/>
    </row>
    <row r="29" spans="2:22" x14ac:dyDescent="0.2">
      <c r="B29" s="12"/>
      <c r="C29" s="15"/>
      <c r="D29" s="12"/>
      <c r="E29" s="1"/>
      <c r="F29" s="1"/>
      <c r="G29" s="1"/>
      <c r="H29" s="1"/>
      <c r="N29" s="21"/>
      <c r="O29" s="21"/>
      <c r="P29" s="21"/>
      <c r="Q29" s="21"/>
      <c r="R29" s="69"/>
      <c r="S29" s="69"/>
      <c r="T29" s="69"/>
    </row>
    <row r="30" spans="2:22" x14ac:dyDescent="0.2">
      <c r="B30" s="12"/>
      <c r="C30" s="15"/>
      <c r="D30" s="12"/>
      <c r="E30" s="1"/>
      <c r="F30" s="1"/>
      <c r="G30" s="1"/>
      <c r="H30" s="1"/>
      <c r="N30" s="21"/>
      <c r="O30" s="21"/>
      <c r="P30" s="21"/>
      <c r="Q30" s="21"/>
      <c r="R30" s="69"/>
      <c r="S30" s="69"/>
      <c r="T30" s="69"/>
    </row>
    <row r="31" spans="2:22" x14ac:dyDescent="0.2">
      <c r="B31" s="12"/>
      <c r="C31" s="15"/>
      <c r="D31" s="12"/>
      <c r="E31" s="1"/>
      <c r="F31" s="1"/>
      <c r="G31" s="1"/>
      <c r="H31" s="1"/>
      <c r="N31" s="21"/>
      <c r="O31" s="21"/>
      <c r="P31" s="21"/>
      <c r="Q31" s="21"/>
      <c r="R31" s="69"/>
      <c r="S31" s="69"/>
      <c r="T31" s="69"/>
    </row>
    <row r="32" spans="2:22" x14ac:dyDescent="0.2">
      <c r="B32" s="12"/>
      <c r="C32" s="15"/>
      <c r="D32" s="12"/>
      <c r="E32" s="1"/>
      <c r="F32" s="1"/>
      <c r="G32" s="1"/>
      <c r="H32" s="1"/>
      <c r="N32" s="21"/>
      <c r="O32" s="21"/>
      <c r="P32" s="21"/>
      <c r="Q32" s="21"/>
      <c r="R32" s="69"/>
      <c r="S32" s="69"/>
      <c r="T32" s="69"/>
    </row>
    <row r="33" spans="2:20" x14ac:dyDescent="0.2">
      <c r="B33" s="12"/>
      <c r="C33" s="15"/>
      <c r="D33" s="12"/>
      <c r="E33" s="1"/>
      <c r="F33" s="1"/>
      <c r="G33" s="1"/>
      <c r="H33" s="1"/>
      <c r="N33" s="21"/>
      <c r="O33" s="21"/>
      <c r="P33" s="21"/>
      <c r="Q33" s="21"/>
      <c r="R33" s="69"/>
      <c r="S33" s="69"/>
      <c r="T33" s="69"/>
    </row>
    <row r="34" spans="2:20" x14ac:dyDescent="0.2">
      <c r="B34" s="12"/>
      <c r="C34" s="15"/>
      <c r="D34" s="12"/>
      <c r="E34" s="1"/>
      <c r="F34" s="1"/>
      <c r="G34" s="1"/>
      <c r="H34" s="1"/>
      <c r="N34" s="1"/>
      <c r="P34" s="1"/>
      <c r="Q34" s="1"/>
      <c r="R34" s="69"/>
      <c r="S34" s="69"/>
      <c r="T34" s="69"/>
    </row>
    <row r="35" spans="2:20" x14ac:dyDescent="0.2">
      <c r="B35" s="12"/>
      <c r="C35" s="15"/>
      <c r="D35" s="12"/>
      <c r="E35" s="1"/>
      <c r="F35" s="1"/>
      <c r="G35" s="1"/>
      <c r="H35" s="1"/>
      <c r="N35" s="1"/>
      <c r="P35" s="1"/>
      <c r="Q35" s="1"/>
      <c r="R35" s="69"/>
      <c r="S35" s="69"/>
      <c r="T35" s="69"/>
    </row>
    <row r="36" spans="2:20" x14ac:dyDescent="0.2">
      <c r="B36" s="12"/>
      <c r="C36" s="15"/>
      <c r="D36" s="12"/>
      <c r="E36" s="1"/>
      <c r="F36" s="1"/>
      <c r="G36" s="1"/>
      <c r="H36" s="1"/>
      <c r="N36" s="1"/>
      <c r="P36" s="1"/>
      <c r="Q36" s="1"/>
      <c r="R36" s="69"/>
      <c r="S36" s="69"/>
      <c r="T36" s="69"/>
    </row>
    <row r="37" spans="2:20" x14ac:dyDescent="0.2">
      <c r="N37" s="1"/>
      <c r="P37" s="1"/>
      <c r="Q37" s="1"/>
    </row>
    <row r="38" spans="2:20" x14ac:dyDescent="0.2">
      <c r="B38" s="19"/>
      <c r="C38" s="19"/>
      <c r="D38" s="19"/>
      <c r="E38" s="21"/>
      <c r="F38" s="21"/>
      <c r="G38" s="21"/>
      <c r="H38" s="21"/>
      <c r="N38" s="1"/>
      <c r="P38" s="1"/>
      <c r="Q38" s="1"/>
      <c r="R38" s="21"/>
      <c r="S38" s="21"/>
      <c r="T38" s="21"/>
    </row>
    <row r="39" spans="2:20" x14ac:dyDescent="0.2">
      <c r="B39" s="19"/>
      <c r="C39" s="19"/>
      <c r="D39" s="19"/>
      <c r="E39" s="21"/>
      <c r="F39" s="21"/>
      <c r="G39" s="21"/>
      <c r="H39" s="21"/>
      <c r="N39" s="1"/>
      <c r="P39" s="1"/>
      <c r="Q39" s="1"/>
      <c r="R39" s="21"/>
      <c r="S39" s="21"/>
      <c r="T39" s="21"/>
    </row>
    <row r="40" spans="2:20" x14ac:dyDescent="0.2">
      <c r="B40" s="19"/>
      <c r="C40" s="19"/>
      <c r="D40" s="19"/>
      <c r="E40" s="21"/>
      <c r="F40" s="21"/>
      <c r="G40" s="21"/>
      <c r="H40" s="21"/>
      <c r="N40" s="1"/>
      <c r="P40" s="1"/>
      <c r="Q40" s="1"/>
      <c r="R40" s="21"/>
      <c r="S40" s="21"/>
      <c r="T40" s="21"/>
    </row>
    <row r="41" spans="2:20" x14ac:dyDescent="0.2">
      <c r="B41" s="19"/>
      <c r="C41" s="19"/>
      <c r="D41" s="19"/>
      <c r="E41" s="21"/>
      <c r="F41" s="21"/>
      <c r="G41" s="21"/>
      <c r="H41" s="21"/>
      <c r="N41" s="1"/>
      <c r="P41" s="1"/>
      <c r="Q41" s="1"/>
      <c r="R41" s="21"/>
      <c r="S41" s="21"/>
      <c r="T41" s="21"/>
    </row>
    <row r="42" spans="2:20" x14ac:dyDescent="0.2">
      <c r="B42" s="19"/>
      <c r="C42" s="19"/>
      <c r="D42" s="19"/>
      <c r="E42" s="21"/>
      <c r="F42" s="21"/>
      <c r="G42" s="21"/>
      <c r="H42" s="21"/>
      <c r="N42" s="1"/>
      <c r="P42" s="1"/>
      <c r="Q42" s="1"/>
      <c r="R42" s="21"/>
      <c r="S42" s="21"/>
      <c r="T42" s="21"/>
    </row>
    <row r="43" spans="2:20" x14ac:dyDescent="0.2">
      <c r="B43" s="12"/>
      <c r="C43" s="15"/>
      <c r="D43" s="12"/>
      <c r="E43" s="1"/>
      <c r="F43" s="1"/>
      <c r="G43" s="1"/>
      <c r="N43" s="1"/>
      <c r="P43" s="1"/>
      <c r="Q43" s="1"/>
    </row>
    <row r="44" spans="2:20" x14ac:dyDescent="0.2">
      <c r="B44" s="12"/>
      <c r="C44" s="15"/>
      <c r="D44" s="12"/>
      <c r="E44" s="1"/>
      <c r="F44" s="1"/>
      <c r="G44" s="1"/>
      <c r="N44" s="1"/>
      <c r="P44" s="1"/>
      <c r="Q44" s="1"/>
    </row>
    <row r="45" spans="2:20" x14ac:dyDescent="0.2">
      <c r="B45" s="12"/>
      <c r="C45" s="15"/>
      <c r="D45" s="12"/>
      <c r="E45" s="1"/>
      <c r="F45" s="1"/>
      <c r="G45" s="1"/>
    </row>
    <row r="46" spans="2:20" x14ac:dyDescent="0.2">
      <c r="B46" s="12"/>
      <c r="C46" s="1"/>
      <c r="D46" s="12"/>
      <c r="E46" s="1"/>
      <c r="F46" s="1"/>
      <c r="G46" s="1"/>
    </row>
    <row r="47" spans="2:20" x14ac:dyDescent="0.2">
      <c r="B47" s="8"/>
      <c r="C47" s="12"/>
      <c r="D47" s="12"/>
      <c r="E47" s="1"/>
      <c r="F47" s="1"/>
      <c r="G47" s="1"/>
    </row>
    <row r="48" spans="2:20" x14ac:dyDescent="0.2">
      <c r="B48" s="8"/>
      <c r="C48" s="12"/>
      <c r="D48" s="12"/>
      <c r="E48" s="1"/>
      <c r="F48" s="1"/>
      <c r="G48" s="1"/>
    </row>
    <row r="49" spans="2:17" x14ac:dyDescent="0.2">
      <c r="B49" s="8"/>
      <c r="C49" s="12"/>
      <c r="D49" s="12"/>
      <c r="E49" s="1"/>
      <c r="F49" s="1"/>
      <c r="G49" s="1"/>
      <c r="N49" s="21"/>
      <c r="O49" s="21"/>
      <c r="P49" s="21"/>
      <c r="Q49" s="21"/>
    </row>
    <row r="50" spans="2:17" x14ac:dyDescent="0.2">
      <c r="B50" s="8"/>
      <c r="C50" s="1"/>
      <c r="D50" s="12"/>
      <c r="E50" s="1"/>
      <c r="F50" s="1"/>
      <c r="G50" s="1"/>
      <c r="N50" s="21"/>
      <c r="O50" s="21"/>
      <c r="P50" s="21"/>
      <c r="Q50" s="21"/>
    </row>
    <row r="51" spans="2:17" x14ac:dyDescent="0.2">
      <c r="B51" s="12"/>
      <c r="C51" s="1"/>
      <c r="D51" s="12"/>
      <c r="E51" s="1"/>
      <c r="F51" s="1"/>
      <c r="G51" s="1"/>
      <c r="N51" s="21"/>
      <c r="O51" s="21"/>
      <c r="P51" s="21"/>
      <c r="Q51" s="21"/>
    </row>
    <row r="52" spans="2:17" x14ac:dyDescent="0.2">
      <c r="B52" s="12"/>
      <c r="C52" s="1"/>
      <c r="D52" s="12"/>
      <c r="E52" s="1"/>
      <c r="F52" s="1"/>
      <c r="G52" s="1"/>
      <c r="N52" s="21"/>
      <c r="O52" s="21"/>
      <c r="P52" s="21"/>
      <c r="Q52" s="21"/>
    </row>
    <row r="53" spans="2:17" x14ac:dyDescent="0.2">
      <c r="B53" s="12"/>
      <c r="D53" s="12"/>
      <c r="E53" s="1"/>
      <c r="F53" s="1"/>
      <c r="G53" s="1"/>
      <c r="N53" s="21"/>
      <c r="O53" s="21"/>
      <c r="P53" s="21"/>
      <c r="Q53" s="21"/>
    </row>
    <row r="54" spans="2:17" x14ac:dyDescent="0.2">
      <c r="P54" s="15"/>
      <c r="Q54" s="34"/>
    </row>
    <row r="55" spans="2:17" x14ac:dyDescent="0.2">
      <c r="B55" s="30"/>
      <c r="C55" s="1" t="s">
        <v>83</v>
      </c>
    </row>
    <row r="56" spans="2:17" x14ac:dyDescent="0.2">
      <c r="B56" s="38"/>
      <c r="C56" s="1" t="s">
        <v>84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H144"/>
  <sheetViews>
    <sheetView topLeftCell="A24" zoomScale="118" zoomScaleNormal="118" workbookViewId="0">
      <selection activeCell="K26" sqref="K26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30" width="8.85546875" style="8"/>
    <col min="31" max="31" width="12.42578125" style="8" bestFit="1" customWidth="1"/>
    <col min="32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76" t="s">
        <v>59</v>
      </c>
      <c r="R5" s="76"/>
      <c r="S5" s="76" t="s">
        <v>117</v>
      </c>
      <c r="T5" s="76" t="s">
        <v>120</v>
      </c>
      <c r="U5" s="76" t="s">
        <v>58</v>
      </c>
      <c r="V5" s="75"/>
      <c r="W5" s="75"/>
      <c r="X5" s="75"/>
      <c r="Y5" s="75"/>
      <c r="Z5" s="57"/>
    </row>
    <row r="6" spans="2:26" ht="15.75" x14ac:dyDescent="0.25">
      <c r="B6" s="43"/>
      <c r="C6" s="43"/>
      <c r="D6" s="43"/>
      <c r="E6" s="43"/>
      <c r="F6" s="43"/>
      <c r="G6" s="43"/>
      <c r="Q6" s="76" t="s">
        <v>59</v>
      </c>
      <c r="R6" s="76"/>
      <c r="S6" s="76" t="s">
        <v>119</v>
      </c>
      <c r="T6" s="76" t="s">
        <v>121</v>
      </c>
      <c r="U6" s="76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77" t="s">
        <v>59</v>
      </c>
      <c r="R7" s="77"/>
      <c r="S7" s="77" t="s">
        <v>118</v>
      </c>
      <c r="T7" s="77" t="s">
        <v>122</v>
      </c>
      <c r="U7" s="77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77"/>
      <c r="R8" s="77"/>
      <c r="S8" s="77"/>
      <c r="T8" s="77"/>
      <c r="U8" s="77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77"/>
      <c r="R9" s="77"/>
      <c r="S9" s="77"/>
      <c r="T9" s="77"/>
      <c r="U9" s="77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77" t="s">
        <v>69</v>
      </c>
      <c r="R10" s="77"/>
      <c r="S10" s="77" t="s">
        <v>134</v>
      </c>
      <c r="T10" s="77" t="s">
        <v>135</v>
      </c>
      <c r="U10" s="77" t="s">
        <v>58</v>
      </c>
      <c r="V10" s="59"/>
      <c r="W10" s="59"/>
      <c r="X10" s="59"/>
      <c r="Y10" s="59"/>
      <c r="Z10" s="57"/>
    </row>
    <row r="11" spans="2:26" x14ac:dyDescent="0.2">
      <c r="Q11" s="78" t="s">
        <v>59</v>
      </c>
      <c r="R11" s="78"/>
      <c r="S11" s="78" t="s">
        <v>72</v>
      </c>
      <c r="T11" s="78" t="s">
        <v>103</v>
      </c>
      <c r="U11" s="78" t="s">
        <v>58</v>
      </c>
      <c r="V11" s="78"/>
      <c r="W11" s="78"/>
      <c r="X11" s="78"/>
      <c r="Y11" s="78"/>
      <c r="Z11" s="57"/>
    </row>
    <row r="12" spans="2:26" x14ac:dyDescent="0.2">
      <c r="Q12" s="78" t="s">
        <v>59</v>
      </c>
      <c r="R12" s="78"/>
      <c r="S12" s="78" t="s">
        <v>105</v>
      </c>
      <c r="T12" s="78" t="s">
        <v>104</v>
      </c>
      <c r="U12" s="78" t="s">
        <v>58</v>
      </c>
      <c r="V12" s="78"/>
      <c r="W12" s="78"/>
      <c r="X12" s="78"/>
      <c r="Y12" s="78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34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106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124</v>
      </c>
      <c r="M17" s="45" t="s">
        <v>56</v>
      </c>
      <c r="N17" s="47" t="s">
        <v>129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  <c r="AD17" s="80" t="s">
        <v>190</v>
      </c>
      <c r="AE17"/>
      <c r="AF17" s="80"/>
      <c r="AG17" s="1"/>
    </row>
    <row r="18" spans="2:34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125</v>
      </c>
      <c r="M18" s="49" t="s">
        <v>80</v>
      </c>
      <c r="N18" s="49" t="s">
        <v>130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  <c r="AD18" s="81" t="s">
        <v>139</v>
      </c>
      <c r="AE18" s="81" t="s">
        <v>6</v>
      </c>
      <c r="AF18" s="81" t="s">
        <v>140</v>
      </c>
      <c r="AG18" s="81" t="s">
        <v>94</v>
      </c>
      <c r="AH18" s="81" t="s">
        <v>95</v>
      </c>
    </row>
    <row r="19" spans="2:34" ht="34.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123</v>
      </c>
      <c r="K19" s="52"/>
      <c r="L19" s="51" t="s">
        <v>81</v>
      </c>
      <c r="M19" s="52"/>
      <c r="N19" s="52" t="s">
        <v>131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  <c r="AD19" s="82" t="s">
        <v>82</v>
      </c>
      <c r="AE19" s="82" t="s">
        <v>141</v>
      </c>
      <c r="AF19" s="82"/>
      <c r="AG19" s="82"/>
      <c r="AH19" s="82"/>
    </row>
    <row r="20" spans="2:34" ht="13.5" thickBot="1" x14ac:dyDescent="0.25">
      <c r="B20" s="9" t="str">
        <f>S20</f>
        <v>Furnace</v>
      </c>
      <c r="C20" s="9" t="s">
        <v>69</v>
      </c>
      <c r="D20" s="54" t="str">
        <f>S5</f>
        <v>ELCHEAT</v>
      </c>
      <c r="E20" s="74">
        <v>2030</v>
      </c>
      <c r="F20" s="55"/>
      <c r="G20" s="56">
        <v>1</v>
      </c>
      <c r="H20" s="56">
        <v>1</v>
      </c>
      <c r="I20" s="56">
        <v>25</v>
      </c>
      <c r="J20" s="56">
        <v>55.97</v>
      </c>
      <c r="K20" s="56"/>
      <c r="L20" s="57"/>
      <c r="M20" s="57">
        <v>8.76</v>
      </c>
      <c r="N20" s="57"/>
      <c r="Q20" s="67" t="s">
        <v>116</v>
      </c>
      <c r="R20" s="66"/>
      <c r="S20" s="64" t="s">
        <v>66</v>
      </c>
      <c r="T20" s="68" t="s">
        <v>114</v>
      </c>
      <c r="U20" s="9" t="s">
        <v>58</v>
      </c>
      <c r="V20" s="9" t="s">
        <v>88</v>
      </c>
      <c r="W20" s="79" t="s">
        <v>89</v>
      </c>
      <c r="X20" s="56"/>
      <c r="Y20" s="56"/>
      <c r="AD20" s="83" t="s">
        <v>53</v>
      </c>
      <c r="AE20" s="83"/>
      <c r="AF20" s="83"/>
      <c r="AG20" s="83"/>
      <c r="AH20" s="82"/>
    </row>
    <row r="21" spans="2:34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74">
        <v>2030</v>
      </c>
      <c r="F21" s="55"/>
      <c r="G21" s="56">
        <v>0.8</v>
      </c>
      <c r="H21" s="56">
        <v>1</v>
      </c>
      <c r="I21" s="56">
        <v>25</v>
      </c>
      <c r="J21" s="56">
        <v>660.44600000000003</v>
      </c>
      <c r="K21" s="56"/>
      <c r="L21" s="57"/>
      <c r="M21" s="57">
        <v>8.76</v>
      </c>
      <c r="N21" s="57"/>
      <c r="Q21" s="66" t="s">
        <v>116</v>
      </c>
      <c r="R21" s="66"/>
      <c r="S21" s="65" t="s">
        <v>107</v>
      </c>
      <c r="T21" s="68" t="s">
        <v>102</v>
      </c>
      <c r="U21" s="9" t="s">
        <v>58</v>
      </c>
      <c r="V21" s="9" t="s">
        <v>88</v>
      </c>
      <c r="W21" s="79" t="s">
        <v>89</v>
      </c>
      <c r="X21" s="56"/>
      <c r="Y21" s="56"/>
      <c r="AD21" s="1" t="s">
        <v>191</v>
      </c>
      <c r="AE21" s="12" t="str">
        <f>S$26</f>
        <v>WNDTRBN</v>
      </c>
      <c r="AF21" s="8" t="s">
        <v>142</v>
      </c>
      <c r="AG21" s="8">
        <v>3.3051976250754521E-3</v>
      </c>
      <c r="AH21" s="9">
        <v>0</v>
      </c>
    </row>
    <row r="22" spans="2:34" x14ac:dyDescent="0.2">
      <c r="B22" s="9" t="str">
        <f>S24</f>
        <v>ELCBoiler</v>
      </c>
      <c r="C22" s="9" t="s">
        <v>69</v>
      </c>
      <c r="D22" s="54" t="str">
        <f>S5</f>
        <v>ELCHEAT</v>
      </c>
      <c r="E22" s="74">
        <v>2030</v>
      </c>
      <c r="F22" s="55"/>
      <c r="G22" s="56">
        <v>0.8</v>
      </c>
      <c r="H22" s="56">
        <v>1</v>
      </c>
      <c r="I22" s="56">
        <v>25</v>
      </c>
      <c r="J22" s="56">
        <v>212.68599999999998</v>
      </c>
      <c r="K22" s="56"/>
      <c r="L22" s="57"/>
      <c r="M22" s="57">
        <v>8.76</v>
      </c>
      <c r="N22" s="57"/>
      <c r="Q22" s="66" t="s">
        <v>116</v>
      </c>
      <c r="R22" s="66"/>
      <c r="S22" s="65" t="s">
        <v>108</v>
      </c>
      <c r="T22" s="68" t="s">
        <v>113</v>
      </c>
      <c r="U22" s="9" t="s">
        <v>58</v>
      </c>
      <c r="V22" s="9" t="s">
        <v>88</v>
      </c>
      <c r="W22" s="79" t="s">
        <v>89</v>
      </c>
      <c r="X22" s="56"/>
      <c r="Y22" s="56"/>
      <c r="AD22" s="1" t="s">
        <v>191</v>
      </c>
      <c r="AE22" s="12" t="str">
        <f t="shared" ref="AE22:AE68" si="0">S$26</f>
        <v>WNDTRBN</v>
      </c>
      <c r="AF22" s="84" t="s">
        <v>143</v>
      </c>
      <c r="AG22" s="8">
        <v>3.1618331753269246E-3</v>
      </c>
      <c r="AH22" s="9">
        <v>0</v>
      </c>
    </row>
    <row r="23" spans="2:34" s="56" customFormat="1" x14ac:dyDescent="0.2">
      <c r="B23" s="9" t="str">
        <f>S22</f>
        <v>BIOKiln</v>
      </c>
      <c r="C23" s="9" t="str">
        <f>PRI_Sector_Fuels!P5</f>
        <v>MANBIOMIN</v>
      </c>
      <c r="D23" s="54" t="s">
        <v>138</v>
      </c>
      <c r="E23" s="74">
        <v>2030</v>
      </c>
      <c r="F23" s="55"/>
      <c r="G23" s="56">
        <v>0.55000000000000004</v>
      </c>
      <c r="H23" s="56">
        <v>1</v>
      </c>
      <c r="I23" s="56">
        <v>25</v>
      </c>
      <c r="J23" s="56">
        <v>67.164000000000001</v>
      </c>
      <c r="M23" s="57">
        <v>8.76</v>
      </c>
      <c r="Q23" s="66" t="s">
        <v>116</v>
      </c>
      <c r="R23" s="66"/>
      <c r="S23" s="65" t="s">
        <v>109</v>
      </c>
      <c r="T23" s="68" t="s">
        <v>110</v>
      </c>
      <c r="U23" s="9" t="s">
        <v>58</v>
      </c>
      <c r="V23" s="9" t="s">
        <v>88</v>
      </c>
      <c r="W23" s="79" t="s">
        <v>89</v>
      </c>
      <c r="AD23" s="1" t="s">
        <v>191</v>
      </c>
      <c r="AE23" s="12" t="str">
        <f t="shared" si="0"/>
        <v>WNDTRBN</v>
      </c>
      <c r="AF23" s="8" t="s">
        <v>144</v>
      </c>
      <c r="AG23" s="8">
        <v>2.8979409360310663E-3</v>
      </c>
      <c r="AH23" s="56">
        <v>0</v>
      </c>
    </row>
    <row r="24" spans="2:34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137</v>
      </c>
      <c r="E24" s="74">
        <v>2030</v>
      </c>
      <c r="F24" s="55"/>
      <c r="G24" s="56">
        <v>1</v>
      </c>
      <c r="H24" s="56">
        <v>1</v>
      </c>
      <c r="I24" s="56">
        <v>25</v>
      </c>
      <c r="J24" s="56">
        <v>50.372999999999998</v>
      </c>
      <c r="M24" s="57">
        <v>8.76</v>
      </c>
      <c r="Q24" s="66" t="s">
        <v>116</v>
      </c>
      <c r="R24" s="66"/>
      <c r="S24" s="65" t="s">
        <v>111</v>
      </c>
      <c r="T24" s="68" t="s">
        <v>112</v>
      </c>
      <c r="U24" s="9" t="s">
        <v>58</v>
      </c>
      <c r="V24" s="9" t="s">
        <v>88</v>
      </c>
      <c r="W24" s="79" t="s">
        <v>89</v>
      </c>
      <c r="AD24" s="1" t="s">
        <v>191</v>
      </c>
      <c r="AE24" s="12" t="str">
        <f t="shared" si="0"/>
        <v>WNDTRBN</v>
      </c>
      <c r="AF24" s="84" t="s">
        <v>145</v>
      </c>
      <c r="AG24" s="8">
        <v>2.7156926103261707E-3</v>
      </c>
      <c r="AH24" s="56">
        <v>0</v>
      </c>
    </row>
    <row r="25" spans="2:34" s="56" customFormat="1" x14ac:dyDescent="0.2">
      <c r="B25" s="54" t="str">
        <f>S26</f>
        <v>WNDTRBN</v>
      </c>
      <c r="C25" s="9"/>
      <c r="D25" s="54" t="s">
        <v>69</v>
      </c>
      <c r="E25" s="74">
        <v>2030</v>
      </c>
      <c r="F25" s="55"/>
      <c r="H25" s="56">
        <v>0.97</v>
      </c>
      <c r="I25" s="56">
        <v>25</v>
      </c>
      <c r="J25" s="56">
        <v>1041</v>
      </c>
      <c r="K25" s="56">
        <v>38</v>
      </c>
      <c r="M25" s="57">
        <v>8.76</v>
      </c>
      <c r="Q25" s="66" t="s">
        <v>116</v>
      </c>
      <c r="R25" s="66"/>
      <c r="S25" s="65" t="s">
        <v>65</v>
      </c>
      <c r="T25" s="68" t="s">
        <v>115</v>
      </c>
      <c r="U25" s="9" t="s">
        <v>58</v>
      </c>
      <c r="V25" s="9" t="s">
        <v>88</v>
      </c>
      <c r="W25" s="56" t="s">
        <v>89</v>
      </c>
      <c r="AD25" s="1" t="s">
        <v>191</v>
      </c>
      <c r="AE25" s="12" t="str">
        <f t="shared" si="0"/>
        <v>WNDTRBN</v>
      </c>
      <c r="AF25" s="8" t="s">
        <v>146</v>
      </c>
      <c r="AG25" s="8">
        <v>2.5452192095824343E-3</v>
      </c>
      <c r="AH25" s="56">
        <v>0</v>
      </c>
    </row>
    <row r="26" spans="2:34" s="56" customFormat="1" x14ac:dyDescent="0.2">
      <c r="B26" s="54" t="str">
        <f>S27</f>
        <v>SOLPV</v>
      </c>
      <c r="C26" s="9"/>
      <c r="D26" s="54" t="s">
        <v>69</v>
      </c>
      <c r="E26" s="74">
        <v>2030</v>
      </c>
      <c r="F26" s="55"/>
      <c r="H26" s="56">
        <v>0.99</v>
      </c>
      <c r="I26" s="56">
        <v>25</v>
      </c>
      <c r="J26" s="56">
        <v>691</v>
      </c>
      <c r="K26" s="56">
        <v>6.99</v>
      </c>
      <c r="M26" s="57">
        <v>8.76</v>
      </c>
      <c r="Q26" s="66" t="s">
        <v>69</v>
      </c>
      <c r="R26" s="66"/>
      <c r="S26" s="65" t="s">
        <v>94</v>
      </c>
      <c r="T26" s="68" t="s">
        <v>97</v>
      </c>
      <c r="U26" s="9" t="s">
        <v>58</v>
      </c>
      <c r="V26" s="9" t="s">
        <v>88</v>
      </c>
      <c r="W26" s="56" t="s">
        <v>89</v>
      </c>
      <c r="AD26" s="1" t="s">
        <v>191</v>
      </c>
      <c r="AE26" s="12" t="str">
        <f t="shared" si="0"/>
        <v>WNDTRBN</v>
      </c>
      <c r="AF26" s="84" t="s">
        <v>147</v>
      </c>
      <c r="AG26" s="8">
        <v>2.5834450529081338E-3</v>
      </c>
      <c r="AH26" s="56">
        <v>0</v>
      </c>
    </row>
    <row r="27" spans="2:34" s="56" customFormat="1" x14ac:dyDescent="0.2">
      <c r="B27" s="54" t="str">
        <f>S25</f>
        <v>CSP</v>
      </c>
      <c r="C27" s="9"/>
      <c r="D27" s="54" t="str">
        <f>S7</f>
        <v>SOLHEAT</v>
      </c>
      <c r="E27" s="74">
        <v>2030</v>
      </c>
      <c r="F27" s="55"/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66" t="s">
        <v>69</v>
      </c>
      <c r="R27" s="66"/>
      <c r="S27" s="65" t="s">
        <v>95</v>
      </c>
      <c r="T27" s="68" t="s">
        <v>96</v>
      </c>
      <c r="U27" s="9" t="s">
        <v>58</v>
      </c>
      <c r="V27" s="9" t="s">
        <v>88</v>
      </c>
      <c r="W27" s="56" t="s">
        <v>89</v>
      </c>
      <c r="AD27" s="1" t="s">
        <v>191</v>
      </c>
      <c r="AE27" s="12" t="str">
        <f t="shared" si="0"/>
        <v>WNDTRBN</v>
      </c>
      <c r="AF27" s="8" t="s">
        <v>148</v>
      </c>
      <c r="AG27" s="8">
        <v>2.7432881310744317E-3</v>
      </c>
      <c r="AH27" s="56">
        <v>6.9165519713261618E-3</v>
      </c>
    </row>
    <row r="28" spans="2:34" s="56" customFormat="1" x14ac:dyDescent="0.2">
      <c r="B28" s="8" t="str">
        <f>S28</f>
        <v>RNWHEAT</v>
      </c>
      <c r="C28" s="16" t="str">
        <f>S5</f>
        <v>ELCHEAT</v>
      </c>
      <c r="D28" s="54" t="s">
        <v>137</v>
      </c>
      <c r="E28" s="74">
        <v>2030</v>
      </c>
      <c r="F28" s="55"/>
      <c r="G28" s="56">
        <v>1</v>
      </c>
      <c r="H28" s="56">
        <v>1</v>
      </c>
      <c r="J28" s="56">
        <v>0</v>
      </c>
      <c r="K28" s="8"/>
      <c r="M28" s="57">
        <v>8.76</v>
      </c>
      <c r="Q28" s="8" t="s">
        <v>116</v>
      </c>
      <c r="R28" s="8"/>
      <c r="S28" s="8" t="s">
        <v>133</v>
      </c>
      <c r="T28" s="8" t="s">
        <v>136</v>
      </c>
      <c r="U28" s="8" t="s">
        <v>58</v>
      </c>
      <c r="V28" s="9" t="s">
        <v>88</v>
      </c>
      <c r="W28" s="56" t="s">
        <v>89</v>
      </c>
      <c r="X28" s="8"/>
      <c r="Y28" s="8"/>
      <c r="AD28" s="1" t="s">
        <v>191</v>
      </c>
      <c r="AE28" s="12" t="str">
        <f t="shared" si="0"/>
        <v>WNDTRBN</v>
      </c>
      <c r="AF28" s="84" t="s">
        <v>149</v>
      </c>
      <c r="AG28" s="8">
        <v>2.8314721319216154E-3</v>
      </c>
      <c r="AH28" s="56">
        <v>4.9742853046594968E-2</v>
      </c>
    </row>
    <row r="29" spans="2:34" s="56" customFormat="1" x14ac:dyDescent="0.2">
      <c r="B29" s="8" t="str">
        <f>S28</f>
        <v>RNWHEAT</v>
      </c>
      <c r="C29" s="16" t="str">
        <f>S6</f>
        <v>BIOHEAT</v>
      </c>
      <c r="D29" s="54" t="s">
        <v>137</v>
      </c>
      <c r="E29" s="74">
        <v>2030</v>
      </c>
      <c r="F29" s="55"/>
      <c r="G29" s="56">
        <v>1</v>
      </c>
      <c r="H29" s="56">
        <v>1</v>
      </c>
      <c r="J29" s="56">
        <v>0</v>
      </c>
      <c r="K29" s="8"/>
      <c r="M29" s="57">
        <v>8.76</v>
      </c>
      <c r="AD29" s="1" t="s">
        <v>191</v>
      </c>
      <c r="AE29" s="12" t="str">
        <f t="shared" si="0"/>
        <v>WNDTRBN</v>
      </c>
      <c r="AF29" s="8" t="s">
        <v>150</v>
      </c>
      <c r="AG29" s="8">
        <v>2.8141143326017269E-3</v>
      </c>
      <c r="AH29" s="56">
        <v>0.12554577777777776</v>
      </c>
    </row>
    <row r="30" spans="2:34" s="56" customFormat="1" x14ac:dyDescent="0.2">
      <c r="B30" s="8" t="str">
        <f>S28</f>
        <v>RNWHEAT</v>
      </c>
      <c r="C30" s="16" t="str">
        <f>S7</f>
        <v>SOLHEAT</v>
      </c>
      <c r="D30" s="54" t="s">
        <v>137</v>
      </c>
      <c r="E30" s="74">
        <v>2030</v>
      </c>
      <c r="F30" s="55"/>
      <c r="G30" s="56">
        <v>1</v>
      </c>
      <c r="H30" s="56">
        <v>1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  <c r="AD30" s="1" t="s">
        <v>191</v>
      </c>
      <c r="AE30" s="12" t="str">
        <f t="shared" si="0"/>
        <v>WNDTRBN</v>
      </c>
      <c r="AF30" s="84" t="s">
        <v>151</v>
      </c>
      <c r="AG30" s="8">
        <v>2.6656478128544076E-3</v>
      </c>
      <c r="AH30" s="56">
        <v>0.2058007025089606</v>
      </c>
    </row>
    <row r="31" spans="2:34" s="56" customFormat="1" x14ac:dyDescent="0.2">
      <c r="B31" s="16" t="str">
        <f>S23</f>
        <v>GASBoiler</v>
      </c>
      <c r="C31" s="16"/>
      <c r="D31" s="54" t="s">
        <v>132</v>
      </c>
      <c r="E31" s="74">
        <v>2030</v>
      </c>
      <c r="F31" s="55"/>
      <c r="H31" s="56">
        <v>1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  <c r="AD31" s="1" t="s">
        <v>191</v>
      </c>
      <c r="AE31" s="12" t="str">
        <f t="shared" si="0"/>
        <v>WNDTRBN</v>
      </c>
      <c r="AF31" s="8" t="s">
        <v>152</v>
      </c>
      <c r="AG31" s="8">
        <v>2.4530677112863486E-3</v>
      </c>
      <c r="AH31" s="56">
        <v>0.27468446594982077</v>
      </c>
    </row>
    <row r="32" spans="2:34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  <c r="AD32" s="1" t="s">
        <v>191</v>
      </c>
      <c r="AE32" s="12" t="str">
        <f t="shared" si="0"/>
        <v>WNDTRBN</v>
      </c>
      <c r="AF32" s="84" t="s">
        <v>153</v>
      </c>
      <c r="AG32" s="8">
        <v>2.1363241345921055E-3</v>
      </c>
      <c r="AH32" s="56">
        <v>0.32637437275985665</v>
      </c>
    </row>
    <row r="33" spans="2:34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  <c r="AD33" s="1" t="s">
        <v>191</v>
      </c>
      <c r="AE33" s="12" t="str">
        <f t="shared" si="0"/>
        <v>WNDTRBN</v>
      </c>
      <c r="AF33" s="8" t="s">
        <v>154</v>
      </c>
      <c r="AG33" s="8">
        <v>1.8660639529435976E-3</v>
      </c>
      <c r="AH33" s="56">
        <v>0.35267560573476697</v>
      </c>
    </row>
    <row r="34" spans="2:34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  <c r="AD34" s="1" t="s">
        <v>191</v>
      </c>
      <c r="AE34" s="12" t="str">
        <f t="shared" si="0"/>
        <v>WNDTRBN</v>
      </c>
      <c r="AF34" s="84" t="s">
        <v>155</v>
      </c>
      <c r="AG34" s="8">
        <v>1.7487528282965712E-3</v>
      </c>
      <c r="AH34" s="56">
        <v>0.34322033691756271</v>
      </c>
    </row>
    <row r="35" spans="2:34" s="56" customFormat="1" x14ac:dyDescent="0.2">
      <c r="B35" s="16"/>
      <c r="C35" s="16"/>
      <c r="D35" s="54"/>
      <c r="E35" s="17"/>
      <c r="F35" s="55"/>
      <c r="J35" s="72"/>
      <c r="K35" s="8"/>
      <c r="Q35" s="21"/>
      <c r="R35" s="21"/>
      <c r="S35" s="19"/>
      <c r="T35" s="37"/>
      <c r="U35" s="21"/>
      <c r="V35" s="21"/>
      <c r="W35" s="21"/>
      <c r="X35" s="8"/>
      <c r="Y35" s="8"/>
      <c r="AD35" s="1" t="s">
        <v>191</v>
      </c>
      <c r="AE35" s="12" t="str">
        <f t="shared" si="0"/>
        <v>WNDTRBN</v>
      </c>
      <c r="AF35" s="8" t="s">
        <v>156</v>
      </c>
      <c r="AG35" s="8">
        <v>1.6637860863902745E-3</v>
      </c>
      <c r="AH35" s="56">
        <v>0.30308891039426522</v>
      </c>
    </row>
    <row r="36" spans="2:34" s="56" customFormat="1" x14ac:dyDescent="0.2">
      <c r="B36" s="16"/>
      <c r="C36" s="8"/>
      <c r="D36" s="54"/>
      <c r="E36" s="17"/>
      <c r="F36" s="58"/>
      <c r="G36" s="8"/>
      <c r="H36" s="8"/>
      <c r="I36" s="8"/>
      <c r="J36" s="73"/>
      <c r="K36" s="8"/>
      <c r="Q36" s="21"/>
      <c r="R36" s="21"/>
      <c r="S36" s="19"/>
      <c r="T36" s="37"/>
      <c r="U36" s="21"/>
      <c r="V36" s="21"/>
      <c r="W36" s="21"/>
      <c r="X36" s="8"/>
      <c r="Y36" s="8"/>
      <c r="AD36" s="1" t="s">
        <v>191</v>
      </c>
      <c r="AE36" s="12" t="str">
        <f t="shared" si="0"/>
        <v>WNDTRBN</v>
      </c>
      <c r="AF36" s="84" t="s">
        <v>157</v>
      </c>
      <c r="AG36" s="8">
        <v>1.8211742012316831E-3</v>
      </c>
      <c r="AH36" s="56">
        <v>0.23170381362007167</v>
      </c>
    </row>
    <row r="37" spans="2:34" s="57" customFormat="1" x14ac:dyDescent="0.2">
      <c r="B37" s="8"/>
      <c r="C37" s="8"/>
      <c r="D37" s="8"/>
      <c r="E37" s="17"/>
      <c r="F37" s="58"/>
      <c r="G37" s="8"/>
      <c r="H37" s="8"/>
      <c r="I37" s="8"/>
      <c r="J37" s="73"/>
      <c r="K37" s="8"/>
      <c r="Q37" s="8"/>
      <c r="R37" s="8"/>
      <c r="S37" s="8"/>
      <c r="T37" s="8"/>
      <c r="U37" s="16"/>
      <c r="V37" s="16"/>
      <c r="W37" s="62"/>
      <c r="X37" s="8"/>
      <c r="Y37" s="8"/>
      <c r="AD37" s="1" t="s">
        <v>191</v>
      </c>
      <c r="AE37" s="12" t="str">
        <f t="shared" si="0"/>
        <v>WNDTRBN</v>
      </c>
      <c r="AF37" s="8" t="s">
        <v>158</v>
      </c>
      <c r="AG37" s="8">
        <v>1.9153018835258307E-3</v>
      </c>
      <c r="AH37" s="56">
        <v>0.14172651612903225</v>
      </c>
    </row>
    <row r="38" spans="2:34" x14ac:dyDescent="0.2">
      <c r="F38" s="58"/>
      <c r="G38" s="10"/>
      <c r="H38" s="60"/>
      <c r="R38" s="57"/>
      <c r="T38" s="57"/>
      <c r="U38" s="59"/>
      <c r="V38" s="59"/>
      <c r="AD38" s="1" t="s">
        <v>191</v>
      </c>
      <c r="AE38" s="12" t="str">
        <f t="shared" si="0"/>
        <v>WNDTRBN</v>
      </c>
      <c r="AF38" s="84" t="s">
        <v>159</v>
      </c>
      <c r="AG38" s="8">
        <v>1.9744590518638132E-3</v>
      </c>
      <c r="AH38" s="9">
        <v>5.3895483870967743E-2</v>
      </c>
    </row>
    <row r="39" spans="2:34" x14ac:dyDescent="0.2">
      <c r="H39" s="60"/>
      <c r="AD39" s="1" t="s">
        <v>191</v>
      </c>
      <c r="AE39" s="12" t="str">
        <f t="shared" si="0"/>
        <v>WNDTRBN</v>
      </c>
      <c r="AF39" s="8" t="s">
        <v>160</v>
      </c>
      <c r="AG39" s="8">
        <v>2.1878436160058393E-3</v>
      </c>
      <c r="AH39" s="9">
        <v>2.6301935483870969E-3</v>
      </c>
    </row>
    <row r="40" spans="2:34" x14ac:dyDescent="0.2">
      <c r="B40" s="53"/>
      <c r="C40" s="8" t="s">
        <v>83</v>
      </c>
      <c r="H40" s="60"/>
      <c r="AD40" s="1" t="s">
        <v>191</v>
      </c>
      <c r="AE40" s="12" t="str">
        <f t="shared" si="0"/>
        <v>WNDTRBN</v>
      </c>
      <c r="AF40" s="84" t="s">
        <v>161</v>
      </c>
      <c r="AG40" s="8">
        <v>2.3889741533883327E-3</v>
      </c>
      <c r="AH40" s="9">
        <v>0</v>
      </c>
    </row>
    <row r="41" spans="2:34" x14ac:dyDescent="0.2">
      <c r="B41" s="61"/>
      <c r="C41" s="8" t="s">
        <v>84</v>
      </c>
      <c r="H41" s="60"/>
      <c r="AD41" s="1" t="s">
        <v>191</v>
      </c>
      <c r="AE41" s="12" t="str">
        <f t="shared" si="0"/>
        <v>WNDTRBN</v>
      </c>
      <c r="AF41" s="8" t="s">
        <v>162</v>
      </c>
      <c r="AG41" s="8">
        <v>2.4063426997311056E-3</v>
      </c>
      <c r="AH41" s="9">
        <v>0</v>
      </c>
    </row>
    <row r="42" spans="2:34" x14ac:dyDescent="0.2">
      <c r="E42" s="8" t="s">
        <v>90</v>
      </c>
      <c r="F42" s="8" t="s">
        <v>91</v>
      </c>
      <c r="H42" s="60"/>
      <c r="AD42" s="1" t="s">
        <v>191</v>
      </c>
      <c r="AE42" s="12" t="str">
        <f t="shared" si="0"/>
        <v>WNDTRBN</v>
      </c>
      <c r="AF42" s="84" t="s">
        <v>163</v>
      </c>
      <c r="AG42" s="8">
        <v>2.5925256698099051E-3</v>
      </c>
      <c r="AH42" s="9">
        <v>0</v>
      </c>
    </row>
    <row r="43" spans="2:34" x14ac:dyDescent="0.2">
      <c r="AD43" s="1" t="s">
        <v>191</v>
      </c>
      <c r="AE43" s="12" t="str">
        <f t="shared" si="0"/>
        <v>WNDTRBN</v>
      </c>
      <c r="AF43" s="8" t="s">
        <v>164</v>
      </c>
      <c r="AG43" s="8">
        <v>2.9724559200622644E-3</v>
      </c>
      <c r="AH43" s="9">
        <v>0</v>
      </c>
    </row>
    <row r="44" spans="2:34" x14ac:dyDescent="0.2">
      <c r="E44" s="8" t="s">
        <v>92</v>
      </c>
      <c r="F44" s="8">
        <f>24*365</f>
        <v>8760</v>
      </c>
      <c r="AD44" s="1" t="s">
        <v>191</v>
      </c>
      <c r="AE44" s="12" t="str">
        <f t="shared" si="0"/>
        <v>WNDTRBN</v>
      </c>
      <c r="AF44" s="84" t="s">
        <v>165</v>
      </c>
      <c r="AG44" s="8">
        <v>3.3823091606694387E-3</v>
      </c>
      <c r="AH44" s="9">
        <v>0</v>
      </c>
    </row>
    <row r="45" spans="2:34" x14ac:dyDescent="0.2">
      <c r="E45" s="10"/>
      <c r="AD45" s="1" t="s">
        <v>191</v>
      </c>
      <c r="AE45" s="12" t="str">
        <f t="shared" si="0"/>
        <v>WNDTRBN</v>
      </c>
      <c r="AF45" t="s">
        <v>166</v>
      </c>
      <c r="AG45" s="8">
        <v>3.030827569122875E-3</v>
      </c>
      <c r="AH45" s="9">
        <v>0</v>
      </c>
    </row>
    <row r="46" spans="2:34" x14ac:dyDescent="0.2">
      <c r="AD46" s="1" t="s">
        <v>191</v>
      </c>
      <c r="AE46" s="12" t="str">
        <f t="shared" si="0"/>
        <v>WNDTRBN</v>
      </c>
      <c r="AF46" t="s">
        <v>167</v>
      </c>
      <c r="AG46" s="8">
        <v>2.7479296595765089E-3</v>
      </c>
      <c r="AH46" s="9">
        <v>0</v>
      </c>
    </row>
    <row r="47" spans="2:34" x14ac:dyDescent="0.2">
      <c r="AD47" s="1" t="s">
        <v>191</v>
      </c>
      <c r="AE47" s="12" t="str">
        <f t="shared" si="0"/>
        <v>WNDTRBN</v>
      </c>
      <c r="AF47" t="s">
        <v>168</v>
      </c>
      <c r="AG47" s="8">
        <v>2.5373694178364601E-3</v>
      </c>
      <c r="AH47" s="9">
        <v>0</v>
      </c>
    </row>
    <row r="48" spans="2:34" x14ac:dyDescent="0.2">
      <c r="AD48" s="1" t="s">
        <v>191</v>
      </c>
      <c r="AE48" s="12" t="str">
        <f t="shared" si="0"/>
        <v>WNDTRBN</v>
      </c>
      <c r="AF48" t="s">
        <v>169</v>
      </c>
      <c r="AG48" s="8">
        <v>2.3562266756271813E-3</v>
      </c>
      <c r="AH48" s="9">
        <v>0</v>
      </c>
    </row>
    <row r="49" spans="30:34" x14ac:dyDescent="0.2">
      <c r="AD49" s="1" t="s">
        <v>191</v>
      </c>
      <c r="AE49" s="12" t="str">
        <f t="shared" si="0"/>
        <v>WNDTRBN</v>
      </c>
      <c r="AF49" t="s">
        <v>170</v>
      </c>
      <c r="AG49" s="8">
        <v>2.2781297107044287E-3</v>
      </c>
      <c r="AH49" s="9">
        <v>0</v>
      </c>
    </row>
    <row r="50" spans="30:34" x14ac:dyDescent="0.2">
      <c r="AD50" s="1" t="s">
        <v>191</v>
      </c>
      <c r="AE50" s="12" t="str">
        <f t="shared" si="0"/>
        <v>WNDTRBN</v>
      </c>
      <c r="AF50" t="s">
        <v>171</v>
      </c>
      <c r="AG50" s="8">
        <v>2.3484464756202451E-3</v>
      </c>
      <c r="AH50" s="9">
        <v>0</v>
      </c>
    </row>
    <row r="51" spans="30:34" x14ac:dyDescent="0.2">
      <c r="AD51" s="1" t="s">
        <v>191</v>
      </c>
      <c r="AE51" s="12" t="str">
        <f t="shared" si="0"/>
        <v>WNDTRBN</v>
      </c>
      <c r="AF51" t="s">
        <v>172</v>
      </c>
      <c r="AG51" s="8">
        <v>2.4124360007773756E-3</v>
      </c>
      <c r="AH51" s="9">
        <v>6.4190919952210254E-3</v>
      </c>
    </row>
    <row r="52" spans="30:34" x14ac:dyDescent="0.2">
      <c r="AD52" s="1" t="s">
        <v>191</v>
      </c>
      <c r="AE52" s="12" t="str">
        <f t="shared" si="0"/>
        <v>WNDTRBN</v>
      </c>
      <c r="AF52" t="s">
        <v>173</v>
      </c>
      <c r="AG52" s="8">
        <v>2.2399725827334173E-3</v>
      </c>
      <c r="AH52" s="9">
        <v>7.0838474313022717E-2</v>
      </c>
    </row>
    <row r="53" spans="30:34" x14ac:dyDescent="0.2">
      <c r="AD53" s="1" t="s">
        <v>191</v>
      </c>
      <c r="AE53" s="12" t="str">
        <f t="shared" si="0"/>
        <v>WNDTRBN</v>
      </c>
      <c r="AF53" t="s">
        <v>174</v>
      </c>
      <c r="AG53" s="8">
        <v>2.3663331133225518E-3</v>
      </c>
      <c r="AH53" s="9">
        <v>0.15999428793309439</v>
      </c>
    </row>
    <row r="54" spans="30:34" x14ac:dyDescent="0.2">
      <c r="AD54" s="1" t="s">
        <v>191</v>
      </c>
      <c r="AE54" s="12" t="str">
        <f t="shared" si="0"/>
        <v>WNDTRBN</v>
      </c>
      <c r="AF54" t="s">
        <v>175</v>
      </c>
      <c r="AG54" s="8">
        <v>2.8966005765197612E-3</v>
      </c>
      <c r="AH54" s="9">
        <v>0.25343209199522099</v>
      </c>
    </row>
    <row r="55" spans="30:34" x14ac:dyDescent="0.2">
      <c r="AD55" s="1" t="s">
        <v>191</v>
      </c>
      <c r="AE55" s="12" t="str">
        <f t="shared" si="0"/>
        <v>WNDTRBN</v>
      </c>
      <c r="AF55" t="s">
        <v>176</v>
      </c>
      <c r="AG55" s="8">
        <v>3.1152079955055634E-3</v>
      </c>
      <c r="AH55" s="9">
        <v>0.32960197968936678</v>
      </c>
    </row>
    <row r="56" spans="30:34" x14ac:dyDescent="0.2">
      <c r="AD56" s="1" t="s">
        <v>191</v>
      </c>
      <c r="AE56" s="12" t="str">
        <f t="shared" si="0"/>
        <v>WNDTRBN</v>
      </c>
      <c r="AF56" t="s">
        <v>177</v>
      </c>
      <c r="AG56" s="8">
        <v>3.1182259692196785E-3</v>
      </c>
      <c r="AH56" s="9">
        <v>0.37592762246117079</v>
      </c>
    </row>
    <row r="57" spans="30:34" x14ac:dyDescent="0.2">
      <c r="AD57" s="1" t="s">
        <v>191</v>
      </c>
      <c r="AE57" s="12" t="str">
        <f t="shared" si="0"/>
        <v>WNDTRBN</v>
      </c>
      <c r="AF57" t="s">
        <v>178</v>
      </c>
      <c r="AG57" s="8">
        <v>3.0731870914146721E-3</v>
      </c>
      <c r="AH57" s="9">
        <v>0.38776096057347664</v>
      </c>
    </row>
    <row r="58" spans="30:34" x14ac:dyDescent="0.2">
      <c r="AD58" s="1" t="s">
        <v>191</v>
      </c>
      <c r="AE58" s="12" t="str">
        <f t="shared" si="0"/>
        <v>WNDTRBN</v>
      </c>
      <c r="AF58" t="s">
        <v>179</v>
      </c>
      <c r="AG58" s="8">
        <v>3.1429734317050739E-3</v>
      </c>
      <c r="AH58" s="9">
        <v>0.36426783751493425</v>
      </c>
    </row>
    <row r="59" spans="30:34" x14ac:dyDescent="0.2">
      <c r="AD59" s="1" t="s">
        <v>191</v>
      </c>
      <c r="AE59" s="12" t="str">
        <f t="shared" si="0"/>
        <v>WNDTRBN</v>
      </c>
      <c r="AF59" t="s">
        <v>180</v>
      </c>
      <c r="AG59" s="8">
        <v>3.4472722790434688E-3</v>
      </c>
      <c r="AH59" s="9">
        <v>0.31009156033452806</v>
      </c>
    </row>
    <row r="60" spans="30:34" x14ac:dyDescent="0.2">
      <c r="AD60" s="1" t="s">
        <v>191</v>
      </c>
      <c r="AE60" s="12" t="str">
        <f t="shared" si="0"/>
        <v>WNDTRBN</v>
      </c>
      <c r="AF60" t="s">
        <v>181</v>
      </c>
      <c r="AG60" s="8">
        <v>3.8185983771107991E-3</v>
      </c>
      <c r="AH60" s="9">
        <v>0.23188419952210276</v>
      </c>
    </row>
    <row r="61" spans="30:34" x14ac:dyDescent="0.2">
      <c r="AD61" s="1" t="s">
        <v>191</v>
      </c>
      <c r="AE61" s="12" t="str">
        <f t="shared" si="0"/>
        <v>WNDTRBN</v>
      </c>
      <c r="AF61" t="s">
        <v>182</v>
      </c>
      <c r="AG61" s="8">
        <v>4.2486300009030951E-3</v>
      </c>
      <c r="AH61" s="9">
        <v>0.13618056033452808</v>
      </c>
    </row>
    <row r="62" spans="30:34" x14ac:dyDescent="0.2">
      <c r="AD62" s="1" t="s">
        <v>191</v>
      </c>
      <c r="AE62" s="12" t="str">
        <f t="shared" si="0"/>
        <v>WNDTRBN</v>
      </c>
      <c r="AF62" t="s">
        <v>183</v>
      </c>
      <c r="AG62" s="8">
        <v>4.5602314239953819E-3</v>
      </c>
      <c r="AH62" s="9">
        <v>4.9357593787335743E-2</v>
      </c>
    </row>
    <row r="63" spans="30:34" x14ac:dyDescent="0.2">
      <c r="AD63" s="1" t="s">
        <v>191</v>
      </c>
      <c r="AE63" s="12" t="str">
        <f t="shared" si="0"/>
        <v>WNDTRBN</v>
      </c>
      <c r="AF63" t="s">
        <v>184</v>
      </c>
      <c r="AG63" s="8">
        <v>4.7366406344324643E-3</v>
      </c>
      <c r="AH63" s="9">
        <v>7.5268817204301086E-6</v>
      </c>
    </row>
    <row r="64" spans="30:34" x14ac:dyDescent="0.2">
      <c r="AD64" s="1" t="s">
        <v>191</v>
      </c>
      <c r="AE64" s="12" t="str">
        <f t="shared" si="0"/>
        <v>WNDTRBN</v>
      </c>
      <c r="AF64" t="s">
        <v>185</v>
      </c>
      <c r="AG64" s="8">
        <v>4.836532938944621E-3</v>
      </c>
      <c r="AH64" s="9">
        <v>0</v>
      </c>
    </row>
    <row r="65" spans="30:34" x14ac:dyDescent="0.2">
      <c r="AD65" s="1" t="s">
        <v>191</v>
      </c>
      <c r="AE65" s="12" t="str">
        <f t="shared" si="0"/>
        <v>WNDTRBN</v>
      </c>
      <c r="AF65" t="s">
        <v>186</v>
      </c>
      <c r="AG65" s="8">
        <v>4.6939429624645087E-3</v>
      </c>
      <c r="AH65" s="9">
        <v>0</v>
      </c>
    </row>
    <row r="66" spans="30:34" x14ac:dyDescent="0.2">
      <c r="AD66" s="1" t="s">
        <v>191</v>
      </c>
      <c r="AE66" s="12" t="str">
        <f t="shared" si="0"/>
        <v>WNDTRBN</v>
      </c>
      <c r="AF66" t="s">
        <v>187</v>
      </c>
      <c r="AG66" s="8">
        <v>4.4878132380958523E-3</v>
      </c>
      <c r="AH66" s="9">
        <v>0</v>
      </c>
    </row>
    <row r="67" spans="30:34" x14ac:dyDescent="0.2">
      <c r="AD67" s="1" t="s">
        <v>191</v>
      </c>
      <c r="AE67" s="12" t="str">
        <f t="shared" si="0"/>
        <v>WNDTRBN</v>
      </c>
      <c r="AF67" t="s">
        <v>188</v>
      </c>
      <c r="AG67" s="8">
        <v>4.0447641835712027E-3</v>
      </c>
      <c r="AH67" s="9">
        <v>0</v>
      </c>
    </row>
    <row r="68" spans="30:34" x14ac:dyDescent="0.2">
      <c r="AD68" s="1" t="s">
        <v>191</v>
      </c>
      <c r="AE68" s="12" t="str">
        <f t="shared" si="0"/>
        <v>WNDTRBN</v>
      </c>
      <c r="AF68" t="s">
        <v>189</v>
      </c>
      <c r="AG68" s="8">
        <v>3.5120337976736293E-3</v>
      </c>
      <c r="AH68" s="9">
        <v>0</v>
      </c>
    </row>
    <row r="69" spans="30:34" x14ac:dyDescent="0.2">
      <c r="AD69" s="1"/>
      <c r="AE69" s="16"/>
    </row>
    <row r="70" spans="30:34" x14ac:dyDescent="0.2">
      <c r="AD70" s="1"/>
      <c r="AE70" s="16"/>
    </row>
    <row r="71" spans="30:34" x14ac:dyDescent="0.2">
      <c r="AD71" s="1"/>
      <c r="AE71" s="16"/>
    </row>
    <row r="72" spans="30:34" x14ac:dyDescent="0.2">
      <c r="AD72" s="1"/>
      <c r="AE72" s="16"/>
    </row>
    <row r="73" spans="30:34" x14ac:dyDescent="0.2">
      <c r="AD73" s="1"/>
      <c r="AE73" s="16"/>
    </row>
    <row r="74" spans="30:34" x14ac:dyDescent="0.2">
      <c r="AD74" s="1"/>
      <c r="AE74" s="16"/>
    </row>
    <row r="75" spans="30:34" x14ac:dyDescent="0.2">
      <c r="AD75" s="1"/>
      <c r="AE75" s="16"/>
    </row>
    <row r="76" spans="30:34" x14ac:dyDescent="0.2">
      <c r="AD76" s="1"/>
      <c r="AE76" s="16"/>
    </row>
    <row r="77" spans="30:34" x14ac:dyDescent="0.2">
      <c r="AD77" s="1"/>
      <c r="AE77" s="16"/>
    </row>
    <row r="78" spans="30:34" x14ac:dyDescent="0.2">
      <c r="AD78" s="1"/>
      <c r="AE78" s="16"/>
    </row>
    <row r="79" spans="30:34" x14ac:dyDescent="0.2">
      <c r="AD79" s="1"/>
      <c r="AE79" s="16"/>
    </row>
    <row r="80" spans="30:34" x14ac:dyDescent="0.2">
      <c r="AD80" s="1"/>
      <c r="AE80" s="16"/>
    </row>
    <row r="81" spans="30:31" x14ac:dyDescent="0.2">
      <c r="AD81" s="1"/>
      <c r="AE81" s="16"/>
    </row>
    <row r="82" spans="30:31" x14ac:dyDescent="0.2">
      <c r="AD82" s="1"/>
      <c r="AE82" s="16"/>
    </row>
    <row r="83" spans="30:31" x14ac:dyDescent="0.2">
      <c r="AD83" s="1"/>
      <c r="AE83" s="16"/>
    </row>
    <row r="84" spans="30:31" x14ac:dyDescent="0.2">
      <c r="AD84" s="1"/>
      <c r="AE84" s="16"/>
    </row>
    <row r="85" spans="30:31" x14ac:dyDescent="0.2">
      <c r="AD85" s="1"/>
      <c r="AE85" s="16"/>
    </row>
    <row r="86" spans="30:31" x14ac:dyDescent="0.2">
      <c r="AD86" s="1"/>
      <c r="AE86" s="16"/>
    </row>
    <row r="87" spans="30:31" x14ac:dyDescent="0.2">
      <c r="AD87" s="1"/>
      <c r="AE87" s="16"/>
    </row>
    <row r="88" spans="30:31" x14ac:dyDescent="0.2">
      <c r="AD88" s="1"/>
      <c r="AE88" s="16"/>
    </row>
    <row r="89" spans="30:31" x14ac:dyDescent="0.2">
      <c r="AD89" s="1"/>
      <c r="AE89" s="16"/>
    </row>
    <row r="90" spans="30:31" x14ac:dyDescent="0.2">
      <c r="AD90" s="1"/>
      <c r="AE90" s="16"/>
    </row>
    <row r="91" spans="30:31" x14ac:dyDescent="0.2">
      <c r="AD91" s="1"/>
      <c r="AE91" s="16"/>
    </row>
    <row r="92" spans="30:31" x14ac:dyDescent="0.2">
      <c r="AD92" s="1"/>
      <c r="AE92" s="16"/>
    </row>
    <row r="93" spans="30:31" x14ac:dyDescent="0.2">
      <c r="AD93" s="1"/>
      <c r="AE93" s="16"/>
    </row>
    <row r="94" spans="30:31" x14ac:dyDescent="0.2">
      <c r="AD94" s="1"/>
      <c r="AE94" s="16"/>
    </row>
    <row r="95" spans="30:31" x14ac:dyDescent="0.2">
      <c r="AD95" s="1"/>
      <c r="AE95" s="16"/>
    </row>
    <row r="96" spans="30:31" x14ac:dyDescent="0.2">
      <c r="AD96" s="1"/>
      <c r="AE96" s="16"/>
    </row>
    <row r="97" spans="30:31" x14ac:dyDescent="0.2">
      <c r="AD97" s="1"/>
      <c r="AE97" s="16"/>
    </row>
    <row r="98" spans="30:31" x14ac:dyDescent="0.2">
      <c r="AD98" s="1"/>
      <c r="AE98" s="16"/>
    </row>
    <row r="99" spans="30:31" x14ac:dyDescent="0.2">
      <c r="AD99" s="1"/>
      <c r="AE99" s="16"/>
    </row>
    <row r="100" spans="30:31" x14ac:dyDescent="0.2">
      <c r="AD100" s="1"/>
      <c r="AE100" s="16"/>
    </row>
    <row r="101" spans="30:31" x14ac:dyDescent="0.2">
      <c r="AD101" s="1"/>
      <c r="AE101" s="16"/>
    </row>
    <row r="102" spans="30:31" x14ac:dyDescent="0.2">
      <c r="AD102" s="1"/>
      <c r="AE102" s="16"/>
    </row>
    <row r="103" spans="30:31" x14ac:dyDescent="0.2">
      <c r="AD103" s="1"/>
      <c r="AE103" s="16"/>
    </row>
    <row r="104" spans="30:31" x14ac:dyDescent="0.2">
      <c r="AD104" s="1"/>
      <c r="AE104" s="16"/>
    </row>
    <row r="105" spans="30:31" x14ac:dyDescent="0.2">
      <c r="AD105" s="1"/>
      <c r="AE105" s="16"/>
    </row>
    <row r="106" spans="30:31" x14ac:dyDescent="0.2">
      <c r="AD106" s="1"/>
      <c r="AE106" s="16"/>
    </row>
    <row r="107" spans="30:31" x14ac:dyDescent="0.2">
      <c r="AD107" s="1"/>
      <c r="AE107" s="16"/>
    </row>
    <row r="108" spans="30:31" x14ac:dyDescent="0.2">
      <c r="AD108" s="1"/>
      <c r="AE108" s="16"/>
    </row>
    <row r="109" spans="30:31" x14ac:dyDescent="0.2">
      <c r="AD109" s="1"/>
      <c r="AE109" s="16"/>
    </row>
    <row r="110" spans="30:31" x14ac:dyDescent="0.2">
      <c r="AD110" s="1"/>
      <c r="AE110" s="16"/>
    </row>
    <row r="111" spans="30:31" x14ac:dyDescent="0.2">
      <c r="AD111" s="1"/>
      <c r="AE111" s="16"/>
    </row>
    <row r="112" spans="30:31" x14ac:dyDescent="0.2">
      <c r="AD112" s="1"/>
      <c r="AE112" s="16"/>
    </row>
    <row r="113" spans="30:31" x14ac:dyDescent="0.2">
      <c r="AD113" s="1"/>
      <c r="AE113" s="16"/>
    </row>
    <row r="114" spans="30:31" x14ac:dyDescent="0.2">
      <c r="AD114" s="1"/>
      <c r="AE114" s="16"/>
    </row>
    <row r="115" spans="30:31" x14ac:dyDescent="0.2">
      <c r="AD115" s="1"/>
      <c r="AE115" s="16"/>
    </row>
    <row r="116" spans="30:31" x14ac:dyDescent="0.2">
      <c r="AD116" s="1"/>
      <c r="AE116" s="16"/>
    </row>
    <row r="117" spans="30:31" x14ac:dyDescent="0.2">
      <c r="AD117" s="1"/>
      <c r="AE117" s="16"/>
    </row>
    <row r="118" spans="30:31" x14ac:dyDescent="0.2">
      <c r="AD118" s="1"/>
      <c r="AE118" s="16"/>
    </row>
    <row r="119" spans="30:31" x14ac:dyDescent="0.2">
      <c r="AD119" s="1"/>
      <c r="AE119" s="16"/>
    </row>
    <row r="120" spans="30:31" x14ac:dyDescent="0.2">
      <c r="AD120" s="1"/>
      <c r="AE120" s="16"/>
    </row>
    <row r="121" spans="30:31" x14ac:dyDescent="0.2">
      <c r="AD121" s="1"/>
      <c r="AE121" s="16"/>
    </row>
    <row r="122" spans="30:31" x14ac:dyDescent="0.2">
      <c r="AD122" s="1"/>
      <c r="AE122" s="16"/>
    </row>
    <row r="123" spans="30:31" x14ac:dyDescent="0.2">
      <c r="AD123" s="1"/>
      <c r="AE123" s="16"/>
    </row>
    <row r="124" spans="30:31" x14ac:dyDescent="0.2">
      <c r="AD124" s="1"/>
      <c r="AE124" s="16"/>
    </row>
    <row r="125" spans="30:31" x14ac:dyDescent="0.2">
      <c r="AD125" s="1"/>
      <c r="AE125" s="16"/>
    </row>
    <row r="126" spans="30:31" x14ac:dyDescent="0.2">
      <c r="AD126" s="1"/>
      <c r="AE126" s="16"/>
    </row>
    <row r="127" spans="30:31" x14ac:dyDescent="0.2">
      <c r="AD127" s="1"/>
      <c r="AE127" s="16"/>
    </row>
    <row r="128" spans="30:31" x14ac:dyDescent="0.2">
      <c r="AD128" s="1"/>
      <c r="AE128" s="16"/>
    </row>
    <row r="129" spans="30:31" x14ac:dyDescent="0.2">
      <c r="AD129" s="1"/>
      <c r="AE129" s="16"/>
    </row>
    <row r="130" spans="30:31" x14ac:dyDescent="0.2">
      <c r="AD130" s="1"/>
      <c r="AE130" s="16"/>
    </row>
    <row r="131" spans="30:31" x14ac:dyDescent="0.2">
      <c r="AD131" s="1"/>
      <c r="AE131" s="16"/>
    </row>
    <row r="132" spans="30:31" x14ac:dyDescent="0.2">
      <c r="AD132" s="1"/>
      <c r="AE132" s="16"/>
    </row>
    <row r="133" spans="30:31" x14ac:dyDescent="0.2">
      <c r="AD133" s="1"/>
      <c r="AE133" s="16"/>
    </row>
    <row r="134" spans="30:31" x14ac:dyDescent="0.2">
      <c r="AD134" s="1"/>
      <c r="AE134" s="16"/>
    </row>
    <row r="135" spans="30:31" x14ac:dyDescent="0.2">
      <c r="AD135" s="1"/>
      <c r="AE135" s="16"/>
    </row>
    <row r="136" spans="30:31" x14ac:dyDescent="0.2">
      <c r="AD136" s="1"/>
      <c r="AE136" s="16"/>
    </row>
    <row r="137" spans="30:31" x14ac:dyDescent="0.2">
      <c r="AD137" s="1"/>
      <c r="AE137" s="16"/>
    </row>
    <row r="138" spans="30:31" x14ac:dyDescent="0.2">
      <c r="AD138" s="1"/>
      <c r="AE138" s="16"/>
    </row>
    <row r="139" spans="30:31" x14ac:dyDescent="0.2">
      <c r="AD139" s="1"/>
      <c r="AE139" s="16"/>
    </row>
    <row r="140" spans="30:31" x14ac:dyDescent="0.2">
      <c r="AD140" s="1"/>
      <c r="AE140" s="16"/>
    </row>
    <row r="141" spans="30:31" x14ac:dyDescent="0.2">
      <c r="AD141" s="1"/>
      <c r="AE141" s="16"/>
    </row>
    <row r="142" spans="30:31" x14ac:dyDescent="0.2">
      <c r="AD142" s="1"/>
      <c r="AE142" s="16"/>
    </row>
    <row r="143" spans="30:31" x14ac:dyDescent="0.2">
      <c r="AD143" s="1"/>
      <c r="AE143" s="16"/>
    </row>
    <row r="144" spans="30:31" x14ac:dyDescent="0.2">
      <c r="AD144" s="1"/>
      <c r="AE144" s="16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2025-12-29T20:11:30Z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