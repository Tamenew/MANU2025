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9440EED7-F3ED-4CB9-A8D9-C62D41FC941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B30" i="7"/>
  <c r="D24" i="7"/>
  <c r="B28" i="7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<sst xmlns="http://schemas.openxmlformats.org/spreadsheetml/2006/main" count="325" uniqueCount="154">
  <si>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</si>
  <si>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</si>
  <si>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</si>
  <si>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</si>
  <si>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</si>
  <si>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</si>
  <si>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</si>
  <si>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</si>
  <si>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</si>
  <si>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</si>
  <si>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</si>
  <si>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</si>
  <si>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</si>
  <si>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</si>
  <si>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</si>
  <si>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</si>
  <si>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</si>
  <si>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</si>
  <si>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</si>
  <si>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</si>
  <si>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</si>
  <si>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</si>
  <si>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</si>
  <si>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</si>
  <si>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</si>
  <si>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</si>
  <si>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</si>
  <si>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</si>
  <si>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</si>
  <si>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</si>
  <si>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</si>
  <si>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</si>
  <si>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</si>
  <si>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</si>
  <si>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</si>
  <si>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</si>
  <si>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</si>
  <si>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</si>
  <si>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</si>
  <si>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</si>
  <si>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</si>
  <si>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</si>
  <si>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</si>
  <si>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</si>
  <si>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</si>
  <si>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</si>
  <si>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</si>
  <si>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</si>
  <si>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</si>
  <si>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</si>
  <si>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</si>
  <si>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</si>
  <si>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</si>
  <si>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</si>
  <si>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</si>
  <si>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</si>
  <si>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</si>
  <si>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</si>
  <si>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</si>
  <si>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</si>
  <si>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</si>
  <si>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</si>
  <si>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</si>
  <si>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</si>
  <si>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</si>
  <si>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</si>
  <si>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</si>
  <si>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</si>
  <si>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</si>
  <si>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</si>
  <si>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</si>
  <si>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</si>
  <si>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</si>
  <si>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</si>
  <si>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</si>
  <si>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</si>
  <si>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</si>
  <si>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</si>
  <si>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</si>
  <si>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</si>
  <si>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</si>
  <si>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</si>
  <si>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</si>
  <si>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</si>
  <si>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</si>
  <si>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</si>
  <si>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</si>
  <si>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</si>
  <si>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</si>
  <si>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</si>
  <si>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</si>
  <si>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</si>
  <si>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</si>
  <si>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</si>
  <si>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</si>
  <si>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</si>
  <si>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</si>
  <si>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</si>
  <si>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</si>
  <si>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</si>
  <si>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</si>
  <si>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</si>
  <si>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</si>
  <si>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</si>
  <si>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</si>
  <si>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</si>
  <si>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</si>
  <si>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</si>
  <si>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</si>
  <si>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</si>
  <si>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</si>
  <si>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</si>
  <si>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</si>
  <si>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</si>
  <si>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</si>
  <si>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</si>
  <si>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</si>
  <si>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</si>
  <si>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</si>
  <si>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</si>
  <si>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</si>
  <si>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</si>
  <si>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</si>
  <si>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</si>
  <si>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</si>
  <si>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</si>
  <si>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</si>
  <si>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</si>
  <si>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</si>
  <si>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</si>
  <si>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</si>
  <si>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</si>
  <si>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</si>
  <si>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</si>
  <si>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</si>
  <si>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</si>
  <si>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</si>
  <si>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</si>
  <si>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</si>
  <si>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</si>
  <si>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SOLTHERMAL</t>
  </si>
  <si>
    <t>Process heat from Solar</t>
  </si>
  <si>
    <t>SOLTHT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</si>
  <si>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</si>
  <si>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</si>
  <si>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</si>
  <si>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</si>
  <si>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</si>
  <si>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</si>
  <si>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</si>
  <si>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</si>
  <si>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</si>
  <si>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</si>
  <si>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Solar Thermal to Process Heat 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</si>
</sst>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abSelected="1" topLeftCell="A5" zoomScale="118" zoomScaleNormal="118" workbookViewId="0">
      <selection activeCell="Y30" sqref="Y30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131</v>
      </c>
      <c r="Y5" s="77" t="s">
        <v>132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130</v>
      </c>
      <c r="Y6" s="77" t="s">
        <v>133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7" t="s">
        <v>58</v>
      </c>
      <c r="AB7" s="77" t="s">
        <v>88</v>
      </c>
    </row>
    <row r="8" spans="2:51" x14ac:dyDescent="0.25">
      <c r="V8" s="45" t="s">
        <v>139</v>
      </c>
      <c r="X8" s="45" t="s">
        <v>140</v>
      </c>
      <c r="Y8" s="45" t="s">
        <v>141</v>
      </c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113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98</v>
      </c>
      <c r="L14" s="57" t="s">
        <v>56</v>
      </c>
      <c r="M14" s="59" t="s">
        <v>103</v>
      </c>
      <c r="N14" s="58" t="s">
        <v>112</v>
      </c>
      <c r="O14" s="59" t="s">
        <v>115</v>
      </c>
      <c r="P14" s="59" t="s">
        <v>116</v>
      </c>
      <c r="Q14" s="59" t="s">
        <v>117</v>
      </c>
      <c r="R14" s="59" t="s">
        <v>118</v>
      </c>
      <c r="S14" s="59" t="s">
        <v>126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99</v>
      </c>
      <c r="L15" s="33" t="s">
        <v>80</v>
      </c>
      <c r="M15" s="33" t="s">
        <v>104</v>
      </c>
      <c r="N15" s="32" t="s">
        <v>85</v>
      </c>
      <c r="O15" s="33" t="s">
        <v>114</v>
      </c>
      <c r="P15" s="33" t="s">
        <v>114</v>
      </c>
      <c r="Q15" s="33" t="s">
        <v>114</v>
      </c>
      <c r="R15" s="75" t="s">
        <v>114</v>
      </c>
      <c r="S15" s="75" t="s">
        <v>127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111</v>
      </c>
      <c r="J16" s="35" t="s">
        <v>111</v>
      </c>
      <c r="K16" s="35" t="s">
        <v>134</v>
      </c>
      <c r="L16" s="36"/>
      <c r="M16" s="36" t="s">
        <v>105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107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128</v>
      </c>
      <c r="W17" s="60"/>
      <c r="X17" s="61" t="s">
        <v>66</v>
      </c>
      <c r="Y17" s="62" t="s">
        <v>143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107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128</v>
      </c>
      <c r="W18" s="60"/>
      <c r="X18" s="61" t="s">
        <v>94</v>
      </c>
      <c r="Y18" s="62" t="s">
        <v>144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107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128</v>
      </c>
      <c r="W19" s="60"/>
      <c r="X19" s="61" t="s">
        <v>95</v>
      </c>
      <c r="Y19" s="62" t="s">
        <v>145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108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128</v>
      </c>
      <c r="W20" s="60"/>
      <c r="X20" s="61" t="s">
        <v>96</v>
      </c>
      <c r="Y20" s="62" t="s">
        <v>146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107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128</v>
      </c>
      <c r="W21" s="60"/>
      <c r="X21" s="61" t="s">
        <v>97</v>
      </c>
      <c r="Y21" s="62" t="s">
        <v>147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130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139</v>
      </c>
      <c r="W22" s="60"/>
      <c r="X22" s="61" t="s">
        <v>65</v>
      </c>
      <c r="Y22" s="62" t="s">
        <v>148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131</v>
      </c>
      <c r="E23" s="43">
        <v>2030</v>
      </c>
      <c r="F23" s="83">
        <v>0.20499999999999999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149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tr">
        <f>X8</f>
        <v>SOLTHERMAL</v>
      </c>
      <c r="E24" s="43">
        <v>2030</v>
      </c>
      <c r="F24" s="83">
        <v>0.4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150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106</v>
      </c>
      <c r="E25" s="43">
        <v>2030</v>
      </c>
      <c r="F25" s="83">
        <v>0.3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129</v>
      </c>
      <c r="Y25" s="62" t="s">
        <v>151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130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137</v>
      </c>
      <c r="Y26" s="62" t="s">
        <v>152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131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 t="s">
        <v>128</v>
      </c>
      <c r="W27" s="45"/>
      <c r="X27" s="45" t="s">
        <v>142</v>
      </c>
      <c r="Y27" s="45" t="s">
        <v>153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135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129</v>
      </c>
      <c r="C29" s="45" t="s">
        <v>135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 t="str">
        <f>X27</f>
        <v>SOLTHT</v>
      </c>
      <c r="C30" s="50" t="str">
        <f>X8</f>
        <v>SOLTHERMAL</v>
      </c>
      <c r="D30" s="84" t="s">
        <v>107</v>
      </c>
      <c r="E30" s="43">
        <v>2030</v>
      </c>
      <c r="F30" s="64">
        <v>1</v>
      </c>
      <c r="G30" s="64">
        <v>1</v>
      </c>
      <c r="H30" s="43">
        <v>100</v>
      </c>
      <c r="I30" s="64">
        <v>0</v>
      </c>
      <c r="J30" s="64">
        <v>0</v>
      </c>
      <c r="K30" s="64">
        <v>0</v>
      </c>
      <c r="L30" s="64">
        <v>0</v>
      </c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2026-03-17T14:39:16Z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