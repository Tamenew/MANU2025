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memellak\OneDrive - Norwegian University of Life Sciences\Documents\GitHub\MANU2025\SubRES_TMPL\"/>
    </mc:Choice>
  </mc:AlternateContent>
  <xr:revisionPtr revIDLastSave="0" documentId="13_ncr:1_{F5CCC7E5-E0EC-4EDB-85B5-FE26D96F2C16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<sst xmlns="http://schemas.openxmlformats.org/spreadsheetml/2006/main" count="863" uniqueCount="217">
  <si>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</si>
  <si>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</si>
  <si>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</si>
  <si>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</si>
  <si>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</si>
  <si>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</si>
  <si>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</si>
  <si>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</si>
  <si>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</si>
  <si>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</si>
  <si>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</si>
  <si>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</si>
  <si>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</si>
  <si>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</si>
  <si>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</si>
  <si>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</si>
  <si>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</si>
  <si>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</si>
  <si>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</si>
  <si>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</si>
  <si>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</si>
  <si>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</si>
  <si>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</si>
  <si>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</si>
  <si>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</si>
  <si>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</si>
  <si>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</si>
  <si>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</si>
  <si>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</si>
  <si>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</si>
  <si>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</si>
  <si>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</si>
  <si>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</si>
  <si>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</si>
  <si>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</si>
  <si>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</si>
  <si>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</si>
  <si>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</si>
  <si>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</si>
  <si>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</si>
  <si>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</si>
  <si>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</si>
  <si>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</si>
  <si>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</si>
  <si>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</si>
  <si>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</si>
  <si>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</si>
  <si>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</si>
  <si>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</si>
  <si>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</si>
  <si>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</si>
  <si>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</si>
  <si>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</si>
  <si>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</si>
  <si>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</si>
  <si>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</si>
  <si>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</si>
  <si>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</si>
  <si>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</si>
  <si>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</si>
  <si>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</si>
  <si>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</si>
  <si>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</si>
  <si>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</si>
  <si>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</si>
  <si>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</si>
  <si>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</si>
  <si>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</si>
  <si>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</si>
  <si>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</si>
  <si>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</si>
  <si>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</si>
  <si>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</si>
  <si>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</si>
  <si>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</si>
  <si>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</si>
  <si>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</si>
  <si>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</si>
  <si>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</si>
  <si>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</si>
  <si>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</si>
  <si>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</si>
  <si>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</si>
  <si>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</si>
  <si>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</si>
  <si>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</si>
  <si>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</si>
  <si>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</si>
  <si>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</si>
  <si>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</si>
  <si>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</si>
  <si>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</si>
  <si>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</si>
  <si>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</si>
  <si>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</si>
  <si>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</si>
  <si>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</si>
  <si>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</si>
  <si>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</si>
  <si>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</si>
  <si>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</si>
  <si>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</si>
  <si>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</si>
  <si>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</si>
  <si>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</si>
  <si>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</si>
  <si>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</si>
  <si>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</si>
  <si>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</si>
  <si>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</si>
  <si>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</si>
  <si>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</si>
  <si>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</si>
  <si>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</si>
  <si>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</si>
  <si>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</si>
  <si>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</si>
  <si>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</si>
  <si>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</si>
  <si>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</si>
  <si>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</si>
  <si>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</si>
  <si>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</si>
  <si>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</si>
  <si>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</si>
  <si>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</si>
  <si>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</si>
  <si>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</si>
  <si>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</si>
  <si>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</si>
  <si>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</si>
  <si>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</si>
  <si>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</si>
  <si>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</si>
  <si>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</si>
  <si>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</si>
  <si>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</si>
  <si>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</si>
  <si>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</si>
  <si>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</si>
  <si>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</si>
  <si>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</si>
  <si>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</si>
  <si>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</si>
  <si>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</si>
  <si>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</si>
  <si>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</si>
  <si>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</si>
  <si>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</si>
  <si>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</si>
  <si>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</si>
  <si>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</si>
  <si>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</si>
  <si>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</si>
  <si>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</si>
  <si>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</si>
  <si>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</si>
  <si>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</si>
  <si>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</si>
  <si>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</si>
  <si>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</si>
  <si>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</si>
  <si>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</si>
  <si>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</si>
  <si>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</si>
  <si>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</si>
  <si>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</si>
  <si>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</si>
  <si>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</si>
  <si>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</si>
  <si>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</si>
  <si>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</si>
  <si>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</si>
  <si>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</si>
  <si>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</si>
  <si>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</si>
  <si>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</si>
  <si>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</si>
  <si>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</si>
  <si>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</si>
  <si>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</si>
  <si>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</si>
  <si>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</si>
  <si>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</si>
  <si>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</si>
  <si>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</si>
  <si>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</si>
  <si>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</si>
  <si>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</si>
  <si>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</si>
  <si>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</si>
  <si>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</si>
  <si>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</si>
  <si>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</si>
  <si>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</si>
  <si>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</si>
  <si>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FX</t>
  </si>
  <si>
    <t>TimeSlices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</si>
  <si>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</si>
  <si>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</si>
  <si>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</si>
  <si>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</si>
  <si>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</si>
  <si>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</si>
  <si>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</si>
  <si>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Cset_CN</t>
  </si>
  <si>
    <t>Pset_CN</t>
  </si>
  <si>
    <t>Timeslices</t>
  </si>
  <si>
    <t>~TFM_INS</t>
  </si>
  <si>
    <t>AllRegions</t>
  </si>
  <si>
    <t>SOLELC</t>
  </si>
  <si>
    <t>Electricity from solar</t>
  </si>
  <si>
    <t>Electrcity from wind</t>
  </si>
  <si>
    <t>WNDELC</t>
  </si>
  <si>
    <t>DECELC</t>
  </si>
  <si>
    <t>Decenteralized electricity</t>
  </si>
  <si>
    <t>AF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</si>
</sst>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3" fillId="4" borderId="0" applyNumberFormat="0" applyBorder="0" applyAlignment="0" applyProtection="0"/>
    <xf numFmtId="164" fontId="12" fillId="0" borderId="0" applyFont="0" applyFill="0" applyBorder="0" applyAlignment="0" applyProtection="0"/>
    <xf numFmtId="0" fontId="14" fillId="5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2" fillId="0" borderId="0"/>
    <xf numFmtId="0" fontId="6" fillId="0" borderId="0"/>
    <xf numFmtId="0" fontId="4" fillId="0" borderId="0"/>
    <xf numFmtId="9" fontId="8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6" fillId="0" borderId="0"/>
    <xf numFmtId="0" fontId="3" fillId="3" borderId="0" applyNumberFormat="0" applyBorder="0" applyAlignment="0" applyProtection="0"/>
    <xf numFmtId="0" fontId="18" fillId="9" borderId="0" applyNumberFormat="0" applyBorder="0" applyAlignment="0" applyProtection="0"/>
    <xf numFmtId="0" fontId="3" fillId="3" borderId="0" applyNumberFormat="0" applyBorder="0" applyAlignment="0" applyProtection="0"/>
    <xf numFmtId="9" fontId="6" fillId="0" borderId="0" applyFont="0" applyFill="0" applyBorder="0" applyAlignment="0" applyProtection="0"/>
    <xf numFmtId="0" fontId="2" fillId="3" borderId="0" applyNumberFormat="0" applyBorder="0" applyAlignment="0" applyProtection="0"/>
  </cellStyleXfs>
  <cellXfs count="86">
    <xf numFmtId="0" fontId="0" fillId="0" borderId="0" xfId="0"/>
    <xf numFmtId="0" fontId="6" fillId="0" borderId="0" xfId="0" applyFont="1"/>
    <xf numFmtId="0" fontId="5" fillId="0" borderId="0" xfId="6" applyFont="1" applyAlignment="1">
      <alignment horizontal="left"/>
    </xf>
    <xf numFmtId="0" fontId="0" fillId="0" borderId="0" xfId="0" applyAlignment="1">
      <alignment wrapText="1"/>
    </xf>
    <xf numFmtId="0" fontId="13" fillId="4" borderId="0" xfId="1" applyAlignment="1">
      <alignment wrapText="1"/>
    </xf>
    <xf numFmtId="0" fontId="6" fillId="0" borderId="0" xfId="4"/>
    <xf numFmtId="165" fontId="5" fillId="0" borderId="0" xfId="0" applyNumberFormat="1" applyFont="1"/>
    <xf numFmtId="165" fontId="6" fillId="0" borderId="0" xfId="0" applyNumberFormat="1" applyFont="1"/>
    <xf numFmtId="165" fontId="7" fillId="2" borderId="2" xfId="0" applyNumberFormat="1" applyFont="1" applyFill="1" applyBorder="1" applyAlignment="1">
      <alignment horizontal="left"/>
    </xf>
    <xf numFmtId="165" fontId="7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5" fillId="8" borderId="0" xfId="3" applyFont="1" applyFill="1"/>
    <xf numFmtId="165" fontId="17" fillId="0" borderId="0" xfId="0" applyNumberFormat="1" applyFont="1"/>
    <xf numFmtId="165" fontId="16" fillId="3" borderId="1" xfId="18" applyNumberFormat="1" applyFont="1" applyBorder="1" applyAlignment="1">
      <alignment horizontal="left" wrapText="1"/>
    </xf>
    <xf numFmtId="0" fontId="17" fillId="0" borderId="0" xfId="0" applyFont="1"/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16" fillId="3" borderId="1" xfId="18" applyFont="1" applyBorder="1" applyAlignment="1">
      <alignment horizontal="left" wrapText="1"/>
    </xf>
    <xf numFmtId="0" fontId="16" fillId="3" borderId="0" xfId="18" applyFont="1" applyBorder="1" applyAlignment="1">
      <alignment horizontal="left" wrapText="1"/>
    </xf>
    <xf numFmtId="0" fontId="16" fillId="3" borderId="1" xfId="18" applyFont="1" applyBorder="1" applyAlignment="1">
      <alignment horizontal="center" wrapText="1"/>
    </xf>
    <xf numFmtId="0" fontId="16" fillId="3" borderId="0" xfId="18" applyFont="1" applyBorder="1" applyAlignment="1">
      <alignment horizontal="center" wrapText="1"/>
    </xf>
    <xf numFmtId="165" fontId="16" fillId="3" borderId="1" xfId="18" applyNumberFormat="1" applyFont="1" applyBorder="1" applyAlignment="1">
      <alignment horizontal="center" wrapText="1"/>
    </xf>
    <xf numFmtId="0" fontId="6" fillId="7" borderId="0" xfId="19" applyFont="1" applyFill="1"/>
    <xf numFmtId="2" fontId="6" fillId="7" borderId="0" xfId="0" applyNumberFormat="1" applyFont="1" applyFill="1"/>
    <xf numFmtId="1" fontId="17" fillId="10" borderId="0" xfId="0" applyNumberFormat="1" applyFont="1" applyFill="1"/>
    <xf numFmtId="2" fontId="6" fillId="10" borderId="0" xfId="0" applyNumberFormat="1" applyFont="1" applyFill="1"/>
    <xf numFmtId="165" fontId="0" fillId="0" borderId="0" xfId="0" applyNumberFormat="1" applyAlignment="1">
      <alignment wrapText="1"/>
    </xf>
    <xf numFmtId="2" fontId="6" fillId="0" borderId="0" xfId="0" applyNumberFormat="1" applyFont="1"/>
    <xf numFmtId="1" fontId="17" fillId="7" borderId="0" xfId="19" applyNumberFormat="1" applyFont="1" applyFill="1"/>
    <xf numFmtId="0" fontId="0" fillId="10" borderId="0" xfId="0" applyFill="1"/>
    <xf numFmtId="165" fontId="16" fillId="3" borderId="1" xfId="20" applyNumberFormat="1" applyFont="1" applyBorder="1" applyAlignment="1">
      <alignment horizontal="left" wrapText="1"/>
    </xf>
    <xf numFmtId="0" fontId="16" fillId="3" borderId="2" xfId="20" applyFont="1" applyBorder="1" applyAlignment="1">
      <alignment horizontal="left" wrapText="1"/>
    </xf>
    <xf numFmtId="0" fontId="16" fillId="3" borderId="3" xfId="20" applyFont="1" applyBorder="1" applyAlignment="1">
      <alignment horizontal="left" wrapText="1"/>
    </xf>
    <xf numFmtId="0" fontId="16" fillId="3" borderId="1" xfId="20" applyFont="1" applyBorder="1" applyAlignment="1">
      <alignment horizontal="left" wrapText="1"/>
    </xf>
    <xf numFmtId="0" fontId="16" fillId="3" borderId="1" xfId="20" applyFont="1" applyBorder="1" applyAlignment="1">
      <alignment horizontal="center" wrapText="1"/>
    </xf>
    <xf numFmtId="0" fontId="16" fillId="3" borderId="4" xfId="20" applyFont="1" applyBorder="1" applyAlignment="1">
      <alignment horizontal="center" wrapText="1"/>
    </xf>
    <xf numFmtId="165" fontId="21" fillId="0" borderId="0" xfId="0" applyNumberFormat="1" applyFont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5" fontId="16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0" fontId="16" fillId="3" borderId="2" xfId="22" applyFont="1" applyBorder="1" applyAlignment="1">
      <alignment horizontal="left" wrapText="1"/>
    </xf>
    <xf numFmtId="0" fontId="16" fillId="3" borderId="1" xfId="22" applyFont="1" applyBorder="1" applyAlignment="1">
      <alignment horizontal="left" wrapText="1"/>
    </xf>
    <xf numFmtId="1" fontId="22" fillId="0" borderId="0" xfId="4" applyNumberFormat="1" applyFont="1"/>
    <xf numFmtId="0" fontId="1" fillId="4" borderId="0" xfId="1" applyFont="1"/>
    <xf numFmtId="0" fontId="22" fillId="0" borderId="0" xfId="4" applyFont="1"/>
    <xf numFmtId="0" fontId="22" fillId="8" borderId="0" xfId="4" applyFont="1" applyFill="1"/>
    <xf numFmtId="0" fontId="23" fillId="6" borderId="0" xfId="3" applyFont="1" applyFill="1"/>
    <xf numFmtId="0" fontId="23" fillId="6" borderId="0" xfId="3" applyFont="1" applyFill="1" applyAlignment="1">
      <alignment wrapText="1"/>
    </xf>
    <xf numFmtId="165" fontId="24" fillId="0" borderId="0" xfId="4" applyNumberFormat="1" applyFont="1"/>
    <xf numFmtId="165" fontId="22" fillId="0" borderId="0" xfId="4" applyNumberFormat="1" applyFont="1"/>
    <xf numFmtId="165" fontId="24" fillId="2" borderId="2" xfId="4" applyNumberFormat="1" applyFont="1" applyFill="1" applyBorder="1" applyAlignment="1">
      <alignment horizontal="left"/>
    </xf>
    <xf numFmtId="165" fontId="24" fillId="2" borderId="3" xfId="4" applyNumberFormat="1" applyFont="1" applyFill="1" applyBorder="1" applyAlignment="1">
      <alignment horizontal="left"/>
    </xf>
    <xf numFmtId="0" fontId="23" fillId="0" borderId="0" xfId="3" applyFont="1" applyFill="1"/>
    <xf numFmtId="165" fontId="22" fillId="8" borderId="0" xfId="4" applyNumberFormat="1" applyFont="1" applyFill="1"/>
    <xf numFmtId="0" fontId="24" fillId="0" borderId="0" xfId="6" applyFont="1" applyAlignment="1">
      <alignment horizontal="left"/>
    </xf>
    <xf numFmtId="0" fontId="24" fillId="2" borderId="2" xfId="6" applyFont="1" applyFill="1" applyBorder="1" applyAlignment="1">
      <alignment horizontal="left" vertical="center"/>
    </xf>
    <xf numFmtId="0" fontId="24" fillId="2" borderId="2" xfId="6" applyFont="1" applyFill="1" applyBorder="1" applyAlignment="1">
      <alignment horizontal="center" vertical="center" wrapText="1"/>
    </xf>
    <xf numFmtId="0" fontId="24" fillId="2" borderId="2" xfId="7" applyFont="1" applyFill="1" applyBorder="1" applyAlignment="1">
      <alignment horizontal="center" vertical="center" wrapText="1"/>
    </xf>
    <xf numFmtId="0" fontId="24" fillId="2" borderId="0" xfId="6" applyFont="1" applyFill="1" applyAlignment="1">
      <alignment horizontal="center" vertical="center" wrapText="1"/>
    </xf>
    <xf numFmtId="0" fontId="24" fillId="0" borderId="0" xfId="0" applyFont="1"/>
    <xf numFmtId="0" fontId="24" fillId="2" borderId="2" xfId="0" applyFont="1" applyFill="1" applyBorder="1" applyAlignment="1">
      <alignment vertical="center"/>
    </xf>
    <xf numFmtId="0" fontId="22" fillId="11" borderId="0" xfId="0" applyFont="1" applyFill="1"/>
    <xf numFmtId="165" fontId="22" fillId="11" borderId="0" xfId="0" applyNumberFormat="1" applyFont="1" applyFill="1"/>
    <xf numFmtId="165" fontId="22" fillId="11" borderId="0" xfId="0" applyNumberFormat="1" applyFont="1" applyFill="1" applyAlignment="1">
      <alignment wrapText="1"/>
    </xf>
    <xf numFmtId="0" fontId="24" fillId="8" borderId="0" xfId="0" applyFont="1" applyFill="1"/>
    <xf numFmtId="0" fontId="22" fillId="0" borderId="5" xfId="4" applyFont="1" applyBorder="1"/>
    <xf numFmtId="2" fontId="22" fillId="0" borderId="0" xfId="4" applyNumberFormat="1" applyFont="1"/>
    <xf numFmtId="9" fontId="22" fillId="8" borderId="0" xfId="21" applyFont="1" applyFill="1"/>
    <xf numFmtId="166" fontId="22" fillId="8" borderId="0" xfId="4" applyNumberFormat="1" applyFont="1" applyFill="1"/>
    <xf numFmtId="9" fontId="22" fillId="0" borderId="0" xfId="4" applyNumberFormat="1" applyFont="1"/>
    <xf numFmtId="166" fontId="22" fillId="0" borderId="0" xfId="4" applyNumberFormat="1" applyFont="1"/>
    <xf numFmtId="9" fontId="22" fillId="0" borderId="0" xfId="21" applyFont="1"/>
    <xf numFmtId="0" fontId="22" fillId="7" borderId="0" xfId="4" applyFont="1" applyFill="1"/>
    <xf numFmtId="0" fontId="22" fillId="10" borderId="0" xfId="4" applyFont="1" applyFill="1"/>
    <xf numFmtId="0" fontId="23" fillId="8" borderId="0" xfId="3" applyFont="1" applyFill="1"/>
    <xf numFmtId="0" fontId="5" fillId="0" borderId="0" xfId="0" applyFont="1"/>
    <xf numFmtId="0" fontId="6" fillId="2" borderId="1" xfId="0" applyFont="1" applyFill="1" applyBorder="1"/>
    <xf numFmtId="0" fontId="16" fillId="3" borderId="0" xfId="20" applyFont="1" applyBorder="1" applyAlignment="1">
      <alignment horizontal="left" wrapText="1"/>
    </xf>
    <xf numFmtId="0" fontId="16" fillId="3" borderId="0" xfId="20" applyFont="1" applyBorder="1" applyAlignment="1">
      <alignment horizontal="center" wrapText="1"/>
    </xf>
    <xf numFmtId="0" fontId="15" fillId="0" borderId="0" xfId="3" applyFont="1" applyFill="1"/>
    <xf numFmtId="0" fontId="17" fillId="0" borderId="0" xfId="4" applyFont="1"/>
    <xf numFmtId="0" fontId="17" fillId="8" borderId="0" xfId="4" applyFont="1" applyFill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24" zoomScale="142" zoomScaleNormal="142" workbookViewId="0">
      <selection activeCell="P8" sqref="P8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18.26953125" bestFit="1" customWidth="1"/>
    <col min="7" max="7" width="8.26953125" bestFit="1" customWidth="1"/>
    <col min="8" max="8" width="17.7265625" bestFit="1" customWidth="1"/>
    <col min="9" max="9" width="8.81640625" bestFit="1" customWidth="1"/>
    <col min="10" max="10" width="13.7265625" bestFit="1" customWidth="1"/>
    <col min="11" max="13" width="13.7265625" customWidth="1"/>
    <col min="14" max="14" width="11.7265625" bestFit="1" customWidth="1"/>
    <col min="15" max="15" width="7.1796875" customWidth="1"/>
    <col min="16" max="16" width="21.453125" bestFit="1" customWidth="1"/>
    <col min="17" max="17" width="36.81640625" bestFit="1" customWidth="1"/>
    <col min="18" max="18" width="6.1796875" customWidth="1"/>
    <col min="19" max="19" width="11.54296875" customWidth="1"/>
    <col min="20" max="20" width="12.81640625" bestFit="1" customWidth="1"/>
    <col min="21" max="21" width="13.26953125" bestFit="1" customWidth="1"/>
    <col min="22" max="22" width="19.453125" bestFit="1" customWidth="1"/>
  </cols>
  <sheetData>
    <row r="1" spans="2:22" ht="29" x14ac:dyDescent="0.35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5" x14ac:dyDescent="0.35">
      <c r="C2" s="38" t="s">
        <v>72</v>
      </c>
      <c r="D2" s="38" t="s">
        <v>73</v>
      </c>
      <c r="E2" s="78" t="s">
        <v>58</v>
      </c>
      <c r="F2" s="78" t="s">
        <v>180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5" x14ac:dyDescent="0.35">
      <c r="C3" s="38" t="s">
        <v>63</v>
      </c>
      <c r="D3" s="38" t="s">
        <v>74</v>
      </c>
      <c r="E3" s="78" t="s">
        <v>58</v>
      </c>
      <c r="F3" s="78" t="s">
        <v>180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" thickBot="1" x14ac:dyDescent="0.4">
      <c r="C4" s="38" t="s">
        <v>61</v>
      </c>
      <c r="D4" s="38" t="s">
        <v>62</v>
      </c>
      <c r="E4" s="78" t="s">
        <v>58</v>
      </c>
      <c r="F4" s="78" t="s">
        <v>180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5" x14ac:dyDescent="0.35">
      <c r="C5" s="38" t="s">
        <v>60</v>
      </c>
      <c r="D5" s="38" t="s">
        <v>75</v>
      </c>
      <c r="E5" s="78" t="s">
        <v>58</v>
      </c>
      <c r="F5" s="78" t="s">
        <v>180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5" x14ac:dyDescent="0.35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5" x14ac:dyDescent="0.35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198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199</v>
      </c>
      <c r="Q8" s="37" t="s">
        <v>200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ht="13" x14ac:dyDescent="0.3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ht="13" x14ac:dyDescent="0.3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180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201</v>
      </c>
      <c r="Q28" s="1" t="s">
        <v>204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202</v>
      </c>
      <c r="Q29" s="14" t="s">
        <v>203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W144"/>
  <sheetViews>
    <sheetView tabSelected="1" topLeftCell="AH50" zoomScale="118" zoomScaleNormal="118" workbookViewId="0">
      <selection activeCell="AR21" sqref="AR21:AR68"/>
    </sheetView>
  </sheetViews>
  <sheetFormatPr defaultColWidth="8.81640625" defaultRowHeight="12.5" x14ac:dyDescent="0.25"/>
  <cols>
    <col min="1" max="1" width="3" style="48" customWidth="1"/>
    <col min="2" max="2" width="12.1796875" style="48" bestFit="1" customWidth="1"/>
    <col min="3" max="3" width="25.81640625" style="48" customWidth="1"/>
    <col min="4" max="4" width="13.81640625" style="48" bestFit="1" customWidth="1"/>
    <col min="5" max="5" width="20" style="48" bestFit="1" customWidth="1"/>
    <col min="6" max="6" width="13.1796875" style="48" bestFit="1" customWidth="1"/>
    <col min="7" max="7" width="9.54296875" style="48" bestFit="1" customWidth="1"/>
    <col min="8" max="8" width="7.81640625" style="48" bestFit="1" customWidth="1"/>
    <col min="9" max="9" width="8.1796875" style="48" customWidth="1"/>
    <col min="10" max="10" width="12.81640625" style="48" bestFit="1" customWidth="1"/>
    <col min="11" max="12" width="8.1796875" style="48" customWidth="1"/>
    <col min="13" max="13" width="10.26953125" style="48" bestFit="1" customWidth="1"/>
    <col min="14" max="19" width="8.1796875" style="48" customWidth="1"/>
    <col min="20" max="21" width="8.1796875" style="49" customWidth="1"/>
    <col min="22" max="22" width="12.7265625" style="48" bestFit="1" customWidth="1"/>
    <col min="23" max="23" width="7.1796875" style="48" customWidth="1"/>
    <col min="24" max="24" width="11.453125" style="48" bestFit="1" customWidth="1"/>
    <col min="25" max="25" width="63.81640625" style="48" bestFit="1" customWidth="1"/>
    <col min="26" max="26" width="8.26953125" style="48" bestFit="1" customWidth="1"/>
    <col min="27" max="27" width="11.7265625" style="48" customWidth="1"/>
    <col min="28" max="28" width="13.453125" style="48" customWidth="1"/>
    <col min="29" max="29" width="13.81640625" style="48" customWidth="1"/>
    <col min="30" max="30" width="8.453125" style="48" customWidth="1"/>
    <col min="31" max="36" width="8.81640625" style="48"/>
    <col min="37" max="37" width="12.453125" style="48" bestFit="1" customWidth="1"/>
    <col min="38" max="40" width="8.81640625" style="48"/>
    <col min="41" max="41" width="13.1796875" style="48" bestFit="1" customWidth="1"/>
    <col min="42" max="16384" width="8.81640625" style="48"/>
  </cols>
  <sheetData>
    <row r="1" spans="2:31" ht="14.5" x14ac:dyDescent="0.35">
      <c r="B1" s="47" t="s">
        <v>38</v>
      </c>
      <c r="C1" s="47" t="s">
        <v>39</v>
      </c>
      <c r="D1" s="47" t="s">
        <v>40</v>
      </c>
      <c r="E1" s="47" t="s">
        <v>71</v>
      </c>
      <c r="F1" s="47" t="s">
        <v>41</v>
      </c>
      <c r="G1" s="47"/>
      <c r="H1" s="47" t="s">
        <v>84</v>
      </c>
    </row>
    <row r="2" spans="2:31" ht="31" x14ac:dyDescent="0.35">
      <c r="B2" s="50" t="s">
        <v>98</v>
      </c>
      <c r="C2" s="50" t="s">
        <v>99</v>
      </c>
      <c r="D2" s="51" t="str">
        <f>"Demand Technologies"</f>
        <v>Demand Technologies</v>
      </c>
      <c r="E2" s="50" t="s">
        <v>58</v>
      </c>
      <c r="F2" s="50" t="s">
        <v>181</v>
      </c>
      <c r="G2" s="50"/>
      <c r="H2" s="50" t="s">
        <v>97</v>
      </c>
      <c r="V2" s="52" t="s">
        <v>7</v>
      </c>
      <c r="W2" s="52"/>
      <c r="X2" s="53"/>
      <c r="Y2" s="53"/>
      <c r="Z2" s="53"/>
      <c r="AA2" s="53"/>
      <c r="AB2" s="53"/>
      <c r="AC2" s="53"/>
      <c r="AD2" s="53"/>
    </row>
    <row r="3" spans="2:31" ht="13" x14ac:dyDescent="0.3">
      <c r="V3" s="54" t="s">
        <v>8</v>
      </c>
      <c r="W3" s="55" t="s">
        <v>42</v>
      </c>
      <c r="X3" s="54" t="s">
        <v>6</v>
      </c>
      <c r="Y3" s="54" t="s">
        <v>9</v>
      </c>
      <c r="Z3" s="54" t="s">
        <v>10</v>
      </c>
      <c r="AA3" s="54" t="s">
        <v>11</v>
      </c>
      <c r="AB3" s="54" t="s">
        <v>12</v>
      </c>
      <c r="AC3" s="54" t="s">
        <v>13</v>
      </c>
      <c r="AD3" s="54" t="s">
        <v>14</v>
      </c>
    </row>
    <row r="4" spans="2:31" ht="22" thickBot="1" x14ac:dyDescent="0.4">
      <c r="B4" s="56"/>
      <c r="C4" s="56"/>
      <c r="D4" s="56"/>
      <c r="E4" s="56"/>
      <c r="F4" s="56"/>
      <c r="G4" s="56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5" x14ac:dyDescent="0.35">
      <c r="B5" s="56"/>
      <c r="C5" s="56"/>
      <c r="D5" s="56"/>
      <c r="E5" s="56"/>
      <c r="F5" s="56"/>
      <c r="G5" s="56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8" t="s">
        <v>88</v>
      </c>
      <c r="AC5" s="41"/>
      <c r="AD5" s="41"/>
      <c r="AE5" s="49"/>
    </row>
    <row r="6" spans="2:31" ht="15.5" x14ac:dyDescent="0.35">
      <c r="B6" s="56"/>
      <c r="C6" s="56"/>
      <c r="D6" s="56"/>
      <c r="E6" s="56"/>
      <c r="F6" s="56"/>
      <c r="G6" s="56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7"/>
      <c r="AB6" s="68" t="s">
        <v>88</v>
      </c>
      <c r="AC6" s="57"/>
      <c r="AD6" s="57"/>
      <c r="AE6" s="49"/>
    </row>
    <row r="7" spans="2:31" ht="15.5" x14ac:dyDescent="0.35">
      <c r="B7" s="56"/>
      <c r="C7" s="56"/>
      <c r="D7" s="56"/>
      <c r="E7" s="56"/>
      <c r="F7" s="56"/>
      <c r="G7" s="56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7"/>
      <c r="AB7" s="68" t="s">
        <v>88</v>
      </c>
      <c r="AC7" s="57"/>
      <c r="AD7" s="57"/>
      <c r="AE7" s="49"/>
    </row>
    <row r="8" spans="2:31" s="84" customFormat="1" ht="15.5" x14ac:dyDescent="0.35">
      <c r="B8" s="83"/>
      <c r="C8" s="83"/>
      <c r="D8" s="83"/>
      <c r="E8" s="83"/>
      <c r="F8" s="83"/>
      <c r="G8" s="83"/>
      <c r="T8" s="85"/>
      <c r="U8" s="85"/>
      <c r="V8" s="84" t="s">
        <v>59</v>
      </c>
      <c r="X8" s="84" t="s">
        <v>210</v>
      </c>
      <c r="Y8" s="84" t="s">
        <v>211</v>
      </c>
      <c r="Z8" s="84" t="s">
        <v>58</v>
      </c>
      <c r="AB8" s="84" t="s">
        <v>88</v>
      </c>
      <c r="AE8" s="85"/>
    </row>
    <row r="9" spans="2:31" s="84" customFormat="1" ht="15.5" x14ac:dyDescent="0.35">
      <c r="B9" s="83"/>
      <c r="C9" s="83"/>
      <c r="D9" s="83"/>
      <c r="E9" s="83"/>
      <c r="F9" s="83"/>
      <c r="G9" s="83"/>
      <c r="T9" s="85"/>
      <c r="U9" s="85"/>
      <c r="V9" s="84" t="s">
        <v>59</v>
      </c>
      <c r="X9" s="84" t="s">
        <v>213</v>
      </c>
      <c r="Y9" s="84" t="s">
        <v>212</v>
      </c>
      <c r="Z9" s="84" t="s">
        <v>58</v>
      </c>
      <c r="AB9" s="84" t="s">
        <v>88</v>
      </c>
      <c r="AE9" s="85"/>
    </row>
    <row r="10" spans="2:31" ht="15.5" x14ac:dyDescent="0.35">
      <c r="B10" s="56"/>
      <c r="C10" s="56"/>
      <c r="D10" s="56"/>
      <c r="E10" s="56"/>
      <c r="F10" s="56"/>
      <c r="G10" s="56"/>
      <c r="AE10" s="49"/>
    </row>
    <row r="11" spans="2:31" x14ac:dyDescent="0.25">
      <c r="AE11" s="49"/>
    </row>
    <row r="13" spans="2:31" x14ac:dyDescent="0.25">
      <c r="V13" s="53"/>
      <c r="W13" s="53"/>
      <c r="X13" s="53"/>
      <c r="Y13" s="53"/>
      <c r="Z13" s="53"/>
      <c r="AA13" s="53"/>
      <c r="AB13" s="53"/>
      <c r="AC13" s="53"/>
      <c r="AD13" s="53"/>
    </row>
    <row r="14" spans="2:31" x14ac:dyDescent="0.25">
      <c r="V14" s="53"/>
      <c r="W14" s="53"/>
      <c r="X14" s="53"/>
      <c r="Y14" s="53"/>
      <c r="Z14" s="53"/>
      <c r="AA14" s="53"/>
      <c r="AB14" s="53"/>
      <c r="AC14" s="53"/>
      <c r="AD14" s="53"/>
    </row>
    <row r="16" spans="2:31" ht="13" x14ac:dyDescent="0.3">
      <c r="D16" s="58" t="s">
        <v>0</v>
      </c>
      <c r="E16" s="58"/>
      <c r="F16" s="58"/>
      <c r="H16" s="58"/>
      <c r="V16" s="52" t="s">
        <v>17</v>
      </c>
      <c r="W16" s="52"/>
      <c r="X16" s="53"/>
      <c r="Y16" s="53"/>
      <c r="Z16" s="53"/>
      <c r="AA16" s="53"/>
      <c r="AB16" s="53"/>
      <c r="AC16" s="53"/>
      <c r="AD16" s="53"/>
    </row>
    <row r="17" spans="2:49" ht="24" customHeight="1" x14ac:dyDescent="0.3">
      <c r="B17" s="59" t="s">
        <v>1</v>
      </c>
      <c r="C17" s="59" t="s">
        <v>3</v>
      </c>
      <c r="D17" s="59" t="s">
        <v>4</v>
      </c>
      <c r="E17" s="60" t="s">
        <v>190</v>
      </c>
      <c r="F17" s="61" t="s">
        <v>183</v>
      </c>
      <c r="G17" s="60" t="s">
        <v>16</v>
      </c>
      <c r="H17" s="60" t="s">
        <v>34</v>
      </c>
      <c r="I17" s="60" t="s">
        <v>47</v>
      </c>
      <c r="J17" s="60" t="s">
        <v>36</v>
      </c>
      <c r="K17" s="62" t="s">
        <v>5</v>
      </c>
      <c r="L17" s="62" t="s">
        <v>117</v>
      </c>
      <c r="M17" s="60" t="s">
        <v>56</v>
      </c>
      <c r="N17" s="62" t="s">
        <v>122</v>
      </c>
      <c r="O17" s="62" t="s">
        <v>192</v>
      </c>
      <c r="P17" s="62" t="s">
        <v>193</v>
      </c>
      <c r="Q17" s="62" t="s">
        <v>194</v>
      </c>
      <c r="R17" s="62" t="s">
        <v>195</v>
      </c>
      <c r="S17" s="62"/>
      <c r="V17" s="54" t="s">
        <v>15</v>
      </c>
      <c r="W17" s="55" t="s">
        <v>42</v>
      </c>
      <c r="X17" s="54" t="s">
        <v>1</v>
      </c>
      <c r="Y17" s="54" t="s">
        <v>2</v>
      </c>
      <c r="Z17" s="54" t="s">
        <v>18</v>
      </c>
      <c r="AA17" s="54" t="s">
        <v>19</v>
      </c>
      <c r="AB17" s="54" t="s">
        <v>20</v>
      </c>
      <c r="AC17" s="54" t="s">
        <v>21</v>
      </c>
      <c r="AD17" s="54" t="s">
        <v>22</v>
      </c>
      <c r="AI17" s="63" t="s">
        <v>208</v>
      </c>
      <c r="AJ17" s="63"/>
      <c r="AK17" s="38"/>
      <c r="AL17" s="63"/>
      <c r="AM17" s="63"/>
      <c r="AN17" s="63"/>
      <c r="AO17" s="38"/>
      <c r="AQ17" s="63" t="s">
        <v>208</v>
      </c>
      <c r="AR17" s="63"/>
      <c r="AS17" s="38"/>
      <c r="AT17" s="63"/>
      <c r="AU17" s="63"/>
      <c r="AV17" s="63"/>
    </row>
    <row r="18" spans="2:49" ht="31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191</v>
      </c>
      <c r="P18" s="33" t="s">
        <v>191</v>
      </c>
      <c r="Q18" s="33" t="s">
        <v>191</v>
      </c>
      <c r="R18" s="81" t="s">
        <v>191</v>
      </c>
      <c r="S18" s="81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64" t="s">
        <v>130</v>
      </c>
      <c r="AJ18" s="64" t="s">
        <v>55</v>
      </c>
      <c r="AK18" s="64" t="s">
        <v>205</v>
      </c>
      <c r="AL18" s="64" t="s">
        <v>197</v>
      </c>
      <c r="AM18" s="64" t="s">
        <v>11</v>
      </c>
      <c r="AN18" s="64" t="s">
        <v>206</v>
      </c>
      <c r="AO18" s="64" t="s">
        <v>209</v>
      </c>
      <c r="AQ18" s="64" t="s">
        <v>130</v>
      </c>
      <c r="AR18" s="64" t="s">
        <v>55</v>
      </c>
      <c r="AS18" s="64" t="s">
        <v>205</v>
      </c>
      <c r="AT18" s="64" t="s">
        <v>197</v>
      </c>
      <c r="AU18" s="64" t="s">
        <v>11</v>
      </c>
      <c r="AV18" s="64" t="s">
        <v>206</v>
      </c>
      <c r="AW18" s="64" t="s">
        <v>209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182</v>
      </c>
      <c r="K19" s="36"/>
      <c r="L19" s="35" t="s">
        <v>180</v>
      </c>
      <c r="M19" s="36"/>
      <c r="N19" s="36" t="s">
        <v>124</v>
      </c>
      <c r="O19" s="36"/>
      <c r="P19" s="36"/>
      <c r="Q19" s="36"/>
      <c r="R19" s="35"/>
      <c r="S19" s="82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44" t="s">
        <v>81</v>
      </c>
      <c r="AJ19" s="44"/>
      <c r="AK19" s="44" t="s">
        <v>131</v>
      </c>
      <c r="AL19" s="44"/>
      <c r="AM19" s="44"/>
      <c r="AN19" s="44"/>
      <c r="AO19" s="44"/>
      <c r="AQ19" s="44" t="s">
        <v>81</v>
      </c>
      <c r="AR19" s="44"/>
      <c r="AS19" s="44" t="s">
        <v>131</v>
      </c>
      <c r="AT19" s="44"/>
      <c r="AU19" s="44"/>
      <c r="AV19" s="44"/>
      <c r="AW19" s="44"/>
    </row>
    <row r="20" spans="2:49" ht="13.5" thickBot="1" x14ac:dyDescent="0.35">
      <c r="B20" s="48" t="str">
        <f>X20</f>
        <v>Furnace</v>
      </c>
      <c r="C20" s="48" t="s">
        <v>69</v>
      </c>
      <c r="D20" s="53" t="str">
        <f>X5</f>
        <v>ELCHEAT</v>
      </c>
      <c r="E20" s="46">
        <v>2030</v>
      </c>
      <c r="F20" s="74"/>
      <c r="G20" s="70">
        <v>1</v>
      </c>
      <c r="H20" s="70">
        <v>1</v>
      </c>
      <c r="I20" s="46">
        <v>25</v>
      </c>
      <c r="J20" s="70">
        <v>81</v>
      </c>
      <c r="K20" s="70">
        <v>0</v>
      </c>
      <c r="L20" s="70">
        <v>0.24</v>
      </c>
      <c r="M20" s="70">
        <v>8.76</v>
      </c>
      <c r="N20" s="46"/>
      <c r="O20" s="46"/>
      <c r="P20" s="46"/>
      <c r="Q20" s="46"/>
      <c r="R20" s="74"/>
      <c r="S20" s="46"/>
      <c r="V20" s="65" t="s">
        <v>110</v>
      </c>
      <c r="W20" s="65"/>
      <c r="X20" s="66" t="s">
        <v>66</v>
      </c>
      <c r="Y20" s="67" t="s">
        <v>108</v>
      </c>
      <c r="Z20" s="48" t="s">
        <v>58</v>
      </c>
      <c r="AA20" s="48" t="s">
        <v>87</v>
      </c>
      <c r="AB20" s="68" t="s">
        <v>88</v>
      </c>
      <c r="AC20" s="49"/>
      <c r="AD20" s="49"/>
      <c r="AI20" s="45" t="s">
        <v>53</v>
      </c>
      <c r="AJ20" s="45"/>
      <c r="AK20" s="45"/>
      <c r="AL20" s="45" t="s">
        <v>207</v>
      </c>
      <c r="AM20" s="45"/>
      <c r="AN20" s="45"/>
      <c r="AO20" s="45"/>
      <c r="AQ20" s="45" t="s">
        <v>53</v>
      </c>
      <c r="AR20" s="45"/>
      <c r="AS20" s="45"/>
      <c r="AT20" s="45" t="s">
        <v>207</v>
      </c>
      <c r="AU20" s="45"/>
      <c r="AV20" s="45"/>
      <c r="AW20" s="44"/>
    </row>
    <row r="21" spans="2:49" ht="13" x14ac:dyDescent="0.3">
      <c r="B21" s="48" t="str">
        <f>X$21</f>
        <v>BIOBoiler</v>
      </c>
      <c r="C21" s="48" t="str">
        <f>PRI_Sector_Fuels!P5</f>
        <v>MANBIOMIN</v>
      </c>
      <c r="D21" s="53" t="str">
        <f>X6</f>
        <v>BIOHEAT</v>
      </c>
      <c r="E21" s="46">
        <v>2030</v>
      </c>
      <c r="F21" s="74"/>
      <c r="G21" s="70">
        <v>0.8</v>
      </c>
      <c r="H21" s="70">
        <v>0.98</v>
      </c>
      <c r="I21" s="46">
        <v>25</v>
      </c>
      <c r="J21" s="70">
        <v>797.9</v>
      </c>
      <c r="K21" s="70">
        <v>48.48</v>
      </c>
      <c r="L21" s="70">
        <v>3.75</v>
      </c>
      <c r="M21" s="70">
        <v>8.76</v>
      </c>
      <c r="N21" s="46"/>
      <c r="O21" s="46"/>
      <c r="P21" s="46"/>
      <c r="Q21" s="46"/>
      <c r="R21" s="46"/>
      <c r="S21" s="46"/>
      <c r="V21" s="65" t="s">
        <v>110</v>
      </c>
      <c r="W21" s="65"/>
      <c r="X21" s="66" t="s">
        <v>101</v>
      </c>
      <c r="Y21" s="67" t="s">
        <v>100</v>
      </c>
      <c r="Z21" s="48" t="s">
        <v>58</v>
      </c>
      <c r="AA21" s="48" t="s">
        <v>87</v>
      </c>
      <c r="AB21" s="68" t="s">
        <v>88</v>
      </c>
      <c r="AC21" s="49"/>
      <c r="AD21" s="49"/>
      <c r="AI21" s="38" t="s">
        <v>216</v>
      </c>
      <c r="AJ21" s="38">
        <v>2030</v>
      </c>
      <c r="AK21" s="39" t="s">
        <v>213</v>
      </c>
      <c r="AL21" s="48" t="s">
        <v>132</v>
      </c>
      <c r="AM21" s="48" t="s">
        <v>196</v>
      </c>
      <c r="AN21" s="48" t="s">
        <v>93</v>
      </c>
      <c r="AO21" s="48">
        <v>3.3051976250754521E-3</v>
      </c>
      <c r="AQ21" s="38" t="s">
        <v>216</v>
      </c>
      <c r="AR21" s="38">
        <v>2030</v>
      </c>
      <c r="AS21" s="39" t="s">
        <v>210</v>
      </c>
      <c r="AT21" s="48" t="s">
        <v>132</v>
      </c>
      <c r="AU21" s="48" t="s">
        <v>196</v>
      </c>
      <c r="AV21" s="48" t="s">
        <v>94</v>
      </c>
      <c r="AW21" s="48">
        <v>0</v>
      </c>
    </row>
    <row r="22" spans="2:49" ht="13" x14ac:dyDescent="0.3">
      <c r="B22" s="48" t="str">
        <f>X24</f>
        <v>ELCBoiler</v>
      </c>
      <c r="C22" s="48" t="s">
        <v>69</v>
      </c>
      <c r="D22" s="53" t="str">
        <f>X5</f>
        <v>ELCHEAT</v>
      </c>
      <c r="E22" s="46">
        <v>2030</v>
      </c>
      <c r="F22" s="74"/>
      <c r="G22" s="70">
        <v>0.8</v>
      </c>
      <c r="H22" s="70">
        <v>1</v>
      </c>
      <c r="I22" s="46">
        <v>25</v>
      </c>
      <c r="J22" s="70">
        <v>112.9</v>
      </c>
      <c r="K22" s="70">
        <v>14.26</v>
      </c>
      <c r="L22" s="70">
        <v>1.22</v>
      </c>
      <c r="M22" s="70">
        <v>8.76</v>
      </c>
      <c r="N22" s="46"/>
      <c r="O22" s="46"/>
      <c r="P22" s="46"/>
      <c r="Q22" s="46"/>
      <c r="R22" s="46"/>
      <c r="S22" s="46"/>
      <c r="V22" s="65" t="s">
        <v>110</v>
      </c>
      <c r="W22" s="65"/>
      <c r="X22" s="66" t="s">
        <v>102</v>
      </c>
      <c r="Y22" s="67" t="s">
        <v>107</v>
      </c>
      <c r="Z22" s="48" t="s">
        <v>58</v>
      </c>
      <c r="AA22" s="48" t="s">
        <v>87</v>
      </c>
      <c r="AB22" s="68" t="s">
        <v>88</v>
      </c>
      <c r="AC22" s="49"/>
      <c r="AD22" s="49"/>
      <c r="AI22" s="38" t="s">
        <v>216</v>
      </c>
      <c r="AJ22" s="38">
        <v>2030</v>
      </c>
      <c r="AK22" s="39" t="s">
        <v>213</v>
      </c>
      <c r="AL22" s="69" t="s">
        <v>133</v>
      </c>
      <c r="AM22" s="48" t="s">
        <v>196</v>
      </c>
      <c r="AN22" s="48" t="s">
        <v>93</v>
      </c>
      <c r="AO22" s="48">
        <v>3.1618331753269246E-3</v>
      </c>
      <c r="AQ22" s="38" t="s">
        <v>216</v>
      </c>
      <c r="AR22" s="38">
        <v>2030</v>
      </c>
      <c r="AS22" s="39" t="s">
        <v>210</v>
      </c>
      <c r="AT22" s="69" t="s">
        <v>133</v>
      </c>
      <c r="AU22" s="48" t="s">
        <v>196</v>
      </c>
      <c r="AV22" s="48" t="s">
        <v>94</v>
      </c>
      <c r="AW22" s="48">
        <v>0</v>
      </c>
    </row>
    <row r="23" spans="2:49" s="49" customFormat="1" ht="13" x14ac:dyDescent="0.3">
      <c r="B23" s="48" t="str">
        <f>X22</f>
        <v>BIOKiln</v>
      </c>
      <c r="C23" s="48" t="str">
        <f>PRI_Sector_Fuels!P5</f>
        <v>MANBIOMIN</v>
      </c>
      <c r="D23" s="53" t="s">
        <v>129</v>
      </c>
      <c r="E23" s="46">
        <v>2030</v>
      </c>
      <c r="F23" s="74"/>
      <c r="G23" s="70">
        <v>0.55000000000000004</v>
      </c>
      <c r="H23" s="70">
        <v>0.98</v>
      </c>
      <c r="I23" s="46">
        <v>25</v>
      </c>
      <c r="J23" s="70">
        <v>297.10000000000002</v>
      </c>
      <c r="K23" s="70">
        <v>4.46</v>
      </c>
      <c r="L23" s="70">
        <v>0.45</v>
      </c>
      <c r="M23" s="70">
        <v>8.76</v>
      </c>
      <c r="N23" s="46"/>
      <c r="O23" s="46"/>
      <c r="P23" s="46"/>
      <c r="Q23" s="46"/>
      <c r="R23" s="46"/>
      <c r="S23" s="46"/>
      <c r="V23" s="65" t="s">
        <v>110</v>
      </c>
      <c r="W23" s="65"/>
      <c r="X23" s="66" t="s">
        <v>103</v>
      </c>
      <c r="Y23" s="67" t="s">
        <v>104</v>
      </c>
      <c r="Z23" s="48" t="s">
        <v>58</v>
      </c>
      <c r="AA23" s="48" t="s">
        <v>87</v>
      </c>
      <c r="AB23" s="68" t="s">
        <v>88</v>
      </c>
      <c r="AI23" s="38" t="s">
        <v>216</v>
      </c>
      <c r="AJ23" s="38">
        <v>2030</v>
      </c>
      <c r="AK23" s="39" t="s">
        <v>213</v>
      </c>
      <c r="AL23" s="48" t="s">
        <v>134</v>
      </c>
      <c r="AM23" s="48" t="s">
        <v>196</v>
      </c>
      <c r="AN23" s="48" t="s">
        <v>93</v>
      </c>
      <c r="AO23" s="48">
        <v>2.8979409360310663E-3</v>
      </c>
      <c r="AQ23" s="38" t="s">
        <v>216</v>
      </c>
      <c r="AR23" s="38">
        <v>2030</v>
      </c>
      <c r="AS23" s="39" t="s">
        <v>210</v>
      </c>
      <c r="AT23" s="48" t="s">
        <v>134</v>
      </c>
      <c r="AU23" s="48" t="s">
        <v>196</v>
      </c>
      <c r="AV23" s="48" t="s">
        <v>94</v>
      </c>
      <c r="AW23" s="49">
        <v>0</v>
      </c>
    </row>
    <row r="24" spans="2:49" s="49" customFormat="1" ht="13" x14ac:dyDescent="0.3">
      <c r="B24" s="53" t="str">
        <f>X23</f>
        <v>GASBoiler</v>
      </c>
      <c r="C24" s="48" t="str">
        <f>PRI_Sector_Fuels!P6</f>
        <v>MANGASMIN</v>
      </c>
      <c r="D24" s="53" t="s">
        <v>128</v>
      </c>
      <c r="E24" s="46">
        <v>2030</v>
      </c>
      <c r="F24" s="74"/>
      <c r="G24" s="70">
        <v>1</v>
      </c>
      <c r="H24" s="70">
        <v>0.99</v>
      </c>
      <c r="I24" s="46">
        <v>25</v>
      </c>
      <c r="J24" s="70">
        <v>61.4</v>
      </c>
      <c r="K24" s="70">
        <v>2.57</v>
      </c>
      <c r="L24" s="70">
        <v>1.35</v>
      </c>
      <c r="M24" s="70">
        <v>8.76</v>
      </c>
      <c r="N24" s="46"/>
      <c r="O24" s="46"/>
      <c r="P24" s="46"/>
      <c r="Q24" s="46"/>
      <c r="R24" s="46"/>
      <c r="S24" s="46"/>
      <c r="V24" s="65" t="s">
        <v>110</v>
      </c>
      <c r="W24" s="65"/>
      <c r="X24" s="66" t="s">
        <v>105</v>
      </c>
      <c r="Y24" s="67" t="s">
        <v>106</v>
      </c>
      <c r="Z24" s="48" t="s">
        <v>58</v>
      </c>
      <c r="AA24" s="48" t="s">
        <v>87</v>
      </c>
      <c r="AB24" s="68" t="s">
        <v>88</v>
      </c>
      <c r="AI24" s="38" t="s">
        <v>216</v>
      </c>
      <c r="AJ24" s="38">
        <v>2030</v>
      </c>
      <c r="AK24" s="39" t="s">
        <v>213</v>
      </c>
      <c r="AL24" s="69" t="s">
        <v>135</v>
      </c>
      <c r="AM24" s="48" t="s">
        <v>196</v>
      </c>
      <c r="AN24" s="48" t="s">
        <v>93</v>
      </c>
      <c r="AO24" s="48">
        <v>2.7156926103261707E-3</v>
      </c>
      <c r="AQ24" s="38" t="s">
        <v>216</v>
      </c>
      <c r="AR24" s="38">
        <v>2030</v>
      </c>
      <c r="AS24" s="39" t="s">
        <v>210</v>
      </c>
      <c r="AT24" s="69" t="s">
        <v>135</v>
      </c>
      <c r="AU24" s="48" t="s">
        <v>196</v>
      </c>
      <c r="AV24" s="48" t="s">
        <v>94</v>
      </c>
      <c r="AW24" s="49">
        <v>0</v>
      </c>
    </row>
    <row r="25" spans="2:49" s="49" customFormat="1" x14ac:dyDescent="0.25">
      <c r="B25" s="53" t="str">
        <f>X26</f>
        <v>WNDTRBN</v>
      </c>
      <c r="C25" s="48" t="str">
        <f>PRI_Sector_Fuels!D28</f>
        <v>WIND</v>
      </c>
      <c r="D25" s="53" t="s">
        <v>213</v>
      </c>
      <c r="E25" s="46">
        <v>2030</v>
      </c>
      <c r="F25" s="74">
        <v>0.2</v>
      </c>
      <c r="G25" s="70"/>
      <c r="H25" s="70">
        <v>0.97</v>
      </c>
      <c r="I25" s="46">
        <v>25</v>
      </c>
      <c r="J25" s="70">
        <v>1041</v>
      </c>
      <c r="K25" s="70">
        <v>38</v>
      </c>
      <c r="L25" s="70"/>
      <c r="M25" s="70">
        <v>8.76</v>
      </c>
      <c r="N25" s="74"/>
      <c r="O25" s="70">
        <v>0.23</v>
      </c>
      <c r="P25" s="70">
        <v>0.28000000000000003</v>
      </c>
      <c r="Q25" s="70">
        <v>0.38</v>
      </c>
      <c r="R25" s="74">
        <v>0.5</v>
      </c>
      <c r="S25" s="46"/>
      <c r="V25" s="65" t="s">
        <v>110</v>
      </c>
      <c r="W25" s="65"/>
      <c r="X25" s="66" t="s">
        <v>65</v>
      </c>
      <c r="Y25" s="67" t="s">
        <v>109</v>
      </c>
      <c r="Z25" s="48" t="s">
        <v>58</v>
      </c>
      <c r="AA25" s="48" t="s">
        <v>87</v>
      </c>
      <c r="AB25" s="49" t="s">
        <v>88</v>
      </c>
      <c r="AI25" s="38" t="s">
        <v>216</v>
      </c>
      <c r="AJ25" s="38">
        <v>2030</v>
      </c>
      <c r="AK25" s="39" t="s">
        <v>213</v>
      </c>
      <c r="AL25" s="48" t="s">
        <v>136</v>
      </c>
      <c r="AM25" s="48" t="s">
        <v>196</v>
      </c>
      <c r="AN25" s="48" t="s">
        <v>93</v>
      </c>
      <c r="AO25" s="48">
        <v>2.5452192095824343E-3</v>
      </c>
      <c r="AQ25" s="38" t="s">
        <v>216</v>
      </c>
      <c r="AR25" s="38">
        <v>2030</v>
      </c>
      <c r="AS25" s="39" t="s">
        <v>210</v>
      </c>
      <c r="AT25" s="48" t="s">
        <v>136</v>
      </c>
      <c r="AU25" s="48" t="s">
        <v>196</v>
      </c>
      <c r="AV25" s="48" t="s">
        <v>94</v>
      </c>
      <c r="AW25" s="49">
        <v>0</v>
      </c>
    </row>
    <row r="26" spans="2:49" s="49" customFormat="1" x14ac:dyDescent="0.25">
      <c r="B26" s="53" t="str">
        <f>X27</f>
        <v>SOLPV</v>
      </c>
      <c r="C26" s="48" t="str">
        <f>PRI_Sector_Fuels!D29</f>
        <v>SOLAR</v>
      </c>
      <c r="D26" s="53" t="s">
        <v>210</v>
      </c>
      <c r="E26" s="46">
        <v>2030</v>
      </c>
      <c r="F26" s="74">
        <v>0.2</v>
      </c>
      <c r="G26" s="70"/>
      <c r="H26" s="70">
        <v>0.99</v>
      </c>
      <c r="I26" s="46">
        <v>25</v>
      </c>
      <c r="J26" s="70">
        <v>691</v>
      </c>
      <c r="K26" s="70">
        <v>6.99</v>
      </c>
      <c r="L26" s="70"/>
      <c r="M26" s="70">
        <v>8.76</v>
      </c>
      <c r="N26" s="74"/>
      <c r="O26" s="70">
        <v>0.23</v>
      </c>
      <c r="P26" s="70">
        <v>0.28000000000000003</v>
      </c>
      <c r="Q26" s="70">
        <v>0.38</v>
      </c>
      <c r="R26" s="74">
        <v>0.5</v>
      </c>
      <c r="S26" s="46"/>
      <c r="V26" s="65" t="s">
        <v>69</v>
      </c>
      <c r="W26" s="65"/>
      <c r="X26" s="66" t="s">
        <v>93</v>
      </c>
      <c r="Y26" s="67" t="s">
        <v>96</v>
      </c>
      <c r="Z26" s="48" t="s">
        <v>58</v>
      </c>
      <c r="AA26" s="48" t="s">
        <v>87</v>
      </c>
      <c r="AB26" s="49" t="s">
        <v>88</v>
      </c>
      <c r="AI26" s="38" t="s">
        <v>216</v>
      </c>
      <c r="AJ26" s="38">
        <v>2030</v>
      </c>
      <c r="AK26" s="39" t="s">
        <v>213</v>
      </c>
      <c r="AL26" s="69" t="s">
        <v>137</v>
      </c>
      <c r="AM26" s="48" t="s">
        <v>196</v>
      </c>
      <c r="AN26" s="48" t="s">
        <v>93</v>
      </c>
      <c r="AO26" s="48">
        <v>2.5834450529081338E-3</v>
      </c>
      <c r="AQ26" s="38" t="s">
        <v>216</v>
      </c>
      <c r="AR26" s="38">
        <v>2030</v>
      </c>
      <c r="AS26" s="39" t="s">
        <v>210</v>
      </c>
      <c r="AT26" s="69" t="s">
        <v>137</v>
      </c>
      <c r="AU26" s="48" t="s">
        <v>196</v>
      </c>
      <c r="AV26" s="48" t="s">
        <v>94</v>
      </c>
      <c r="AW26" s="49">
        <v>0</v>
      </c>
    </row>
    <row r="27" spans="2:49" s="49" customFormat="1" x14ac:dyDescent="0.25">
      <c r="B27" s="53" t="str">
        <f>X25</f>
        <v>CSP</v>
      </c>
      <c r="C27" s="48" t="str">
        <f>PRI_Sector_Fuels!D29</f>
        <v>SOLAR</v>
      </c>
      <c r="D27" s="53" t="str">
        <f>X7</f>
        <v>SOLHEAT</v>
      </c>
      <c r="E27" s="46">
        <v>2030</v>
      </c>
      <c r="F27" s="74">
        <v>0.2</v>
      </c>
      <c r="G27" s="70"/>
      <c r="H27" s="70">
        <v>1</v>
      </c>
      <c r="I27" s="46">
        <v>25</v>
      </c>
      <c r="J27" s="70">
        <v>3677</v>
      </c>
      <c r="K27" s="70"/>
      <c r="L27" s="70">
        <v>14</v>
      </c>
      <c r="M27" s="70">
        <v>8.76</v>
      </c>
      <c r="N27" s="74"/>
      <c r="O27" s="70">
        <v>0.23</v>
      </c>
      <c r="P27" s="70">
        <v>0.28000000000000003</v>
      </c>
      <c r="Q27" s="70">
        <v>0.38</v>
      </c>
      <c r="R27" s="74">
        <v>0.5</v>
      </c>
      <c r="S27" s="46"/>
      <c r="V27" s="65" t="s">
        <v>69</v>
      </c>
      <c r="W27" s="65"/>
      <c r="X27" s="66" t="s">
        <v>94</v>
      </c>
      <c r="Y27" s="67" t="s">
        <v>95</v>
      </c>
      <c r="Z27" s="48" t="s">
        <v>58</v>
      </c>
      <c r="AA27" s="48" t="s">
        <v>87</v>
      </c>
      <c r="AB27" s="49" t="s">
        <v>88</v>
      </c>
      <c r="AI27" s="38" t="s">
        <v>216</v>
      </c>
      <c r="AJ27" s="38">
        <v>2030</v>
      </c>
      <c r="AK27" s="39" t="s">
        <v>213</v>
      </c>
      <c r="AL27" s="48" t="s">
        <v>138</v>
      </c>
      <c r="AM27" s="48" t="s">
        <v>196</v>
      </c>
      <c r="AN27" s="48" t="s">
        <v>93</v>
      </c>
      <c r="AO27" s="48">
        <v>2.7432881310744317E-3</v>
      </c>
      <c r="AQ27" s="38" t="s">
        <v>216</v>
      </c>
      <c r="AR27" s="38">
        <v>2030</v>
      </c>
      <c r="AS27" s="39" t="s">
        <v>210</v>
      </c>
      <c r="AT27" s="48" t="s">
        <v>138</v>
      </c>
      <c r="AU27" s="48" t="s">
        <v>196</v>
      </c>
      <c r="AV27" s="48" t="s">
        <v>94</v>
      </c>
      <c r="AW27" s="49">
        <v>6.9165519713261618E-3</v>
      </c>
    </row>
    <row r="28" spans="2:49" s="49" customFormat="1" x14ac:dyDescent="0.25">
      <c r="B28" s="48" t="str">
        <f>X28</f>
        <v>RNWHEAT</v>
      </c>
      <c r="C28" s="53" t="str">
        <f>X5</f>
        <v>ELCHEAT</v>
      </c>
      <c r="D28" s="53" t="s">
        <v>128</v>
      </c>
      <c r="E28" s="46">
        <v>2030</v>
      </c>
      <c r="F28" s="74">
        <v>0.2</v>
      </c>
      <c r="G28" s="70">
        <v>1</v>
      </c>
      <c r="H28" s="70">
        <v>1</v>
      </c>
      <c r="I28" s="46">
        <v>100</v>
      </c>
      <c r="J28" s="70">
        <v>0</v>
      </c>
      <c r="K28" s="70"/>
      <c r="L28" s="70"/>
      <c r="M28" s="70">
        <v>8.76</v>
      </c>
      <c r="N28" s="74"/>
      <c r="O28" s="70">
        <v>0.23</v>
      </c>
      <c r="P28" s="70">
        <v>0.28000000000000003</v>
      </c>
      <c r="Q28" s="70">
        <v>0.38</v>
      </c>
      <c r="R28" s="74">
        <v>0.5</v>
      </c>
      <c r="S28" s="46"/>
      <c r="V28" s="48" t="s">
        <v>110</v>
      </c>
      <c r="W28" s="48"/>
      <c r="X28" s="48" t="s">
        <v>126</v>
      </c>
      <c r="Y28" s="48" t="s">
        <v>127</v>
      </c>
      <c r="Z28" s="48" t="s">
        <v>58</v>
      </c>
      <c r="AA28" s="48" t="s">
        <v>87</v>
      </c>
      <c r="AB28" s="49" t="s">
        <v>88</v>
      </c>
      <c r="AC28" s="48"/>
      <c r="AD28" s="48"/>
      <c r="AI28" s="38" t="s">
        <v>216</v>
      </c>
      <c r="AJ28" s="38">
        <v>2030</v>
      </c>
      <c r="AK28" s="39" t="s">
        <v>213</v>
      </c>
      <c r="AL28" s="69" t="s">
        <v>139</v>
      </c>
      <c r="AM28" s="48" t="s">
        <v>196</v>
      </c>
      <c r="AN28" s="48" t="s">
        <v>93</v>
      </c>
      <c r="AO28" s="48">
        <v>2.8314721319216154E-3</v>
      </c>
      <c r="AQ28" s="38" t="s">
        <v>216</v>
      </c>
      <c r="AR28" s="38">
        <v>2030</v>
      </c>
      <c r="AS28" s="39" t="s">
        <v>210</v>
      </c>
      <c r="AT28" s="69" t="s">
        <v>139</v>
      </c>
      <c r="AU28" s="48" t="s">
        <v>196</v>
      </c>
      <c r="AV28" s="48" t="s">
        <v>94</v>
      </c>
      <c r="AW28" s="49">
        <v>4.9742853046594968E-2</v>
      </c>
    </row>
    <row r="29" spans="2:49" s="49" customFormat="1" x14ac:dyDescent="0.25">
      <c r="B29" s="48" t="str">
        <f>X28</f>
        <v>RNWHEAT</v>
      </c>
      <c r="C29" s="53" t="str">
        <f>X6</f>
        <v>BIOHEAT</v>
      </c>
      <c r="D29" s="53" t="s">
        <v>128</v>
      </c>
      <c r="E29" s="46">
        <v>2030</v>
      </c>
      <c r="F29" s="74">
        <v>0.1</v>
      </c>
      <c r="G29" s="70">
        <v>1</v>
      </c>
      <c r="H29" s="70">
        <v>1</v>
      </c>
      <c r="I29" s="46">
        <v>100</v>
      </c>
      <c r="J29" s="70">
        <v>0</v>
      </c>
      <c r="K29" s="70"/>
      <c r="L29" s="70"/>
      <c r="M29" s="70">
        <v>8.76</v>
      </c>
      <c r="N29" s="74"/>
      <c r="O29" s="70">
        <v>0.14000000000000001</v>
      </c>
      <c r="P29" s="70">
        <v>0.22</v>
      </c>
      <c r="Q29" s="70">
        <v>0.34</v>
      </c>
      <c r="R29" s="74">
        <v>0.5</v>
      </c>
      <c r="S29" s="46"/>
      <c r="V29" s="49" t="s">
        <v>69</v>
      </c>
      <c r="X29" s="49" t="s">
        <v>214</v>
      </c>
      <c r="Y29" s="49" t="s">
        <v>215</v>
      </c>
      <c r="Z29" s="49" t="s">
        <v>58</v>
      </c>
      <c r="AA29" s="49" t="s">
        <v>87</v>
      </c>
      <c r="AB29" s="49" t="s">
        <v>88</v>
      </c>
      <c r="AI29" s="38" t="s">
        <v>216</v>
      </c>
      <c r="AJ29" s="38">
        <v>2030</v>
      </c>
      <c r="AK29" s="39" t="s">
        <v>213</v>
      </c>
      <c r="AL29" s="48" t="s">
        <v>140</v>
      </c>
      <c r="AM29" s="48" t="s">
        <v>196</v>
      </c>
      <c r="AN29" s="48" t="s">
        <v>93</v>
      </c>
      <c r="AO29" s="48">
        <v>2.8141143326017269E-3</v>
      </c>
      <c r="AQ29" s="38" t="s">
        <v>216</v>
      </c>
      <c r="AR29" s="38">
        <v>2030</v>
      </c>
      <c r="AS29" s="39" t="s">
        <v>210</v>
      </c>
      <c r="AT29" s="48" t="s">
        <v>140</v>
      </c>
      <c r="AU29" s="48" t="s">
        <v>196</v>
      </c>
      <c r="AV29" s="48" t="s">
        <v>94</v>
      </c>
      <c r="AW29" s="49">
        <v>0.12554577777777776</v>
      </c>
    </row>
    <row r="30" spans="2:49" s="49" customFormat="1" x14ac:dyDescent="0.25">
      <c r="B30" s="48" t="str">
        <f>X28</f>
        <v>RNWHEAT</v>
      </c>
      <c r="C30" s="53" t="str">
        <f>X7</f>
        <v>SOLHEAT</v>
      </c>
      <c r="D30" s="53" t="s">
        <v>128</v>
      </c>
      <c r="E30" s="46">
        <v>2030</v>
      </c>
      <c r="F30" s="74">
        <v>0.2</v>
      </c>
      <c r="G30" s="70">
        <v>1</v>
      </c>
      <c r="H30" s="70">
        <v>1</v>
      </c>
      <c r="I30" s="46">
        <v>100</v>
      </c>
      <c r="J30" s="70">
        <v>0</v>
      </c>
      <c r="K30" s="70"/>
      <c r="L30" s="70"/>
      <c r="M30" s="70">
        <v>8.76</v>
      </c>
      <c r="N30" s="74"/>
      <c r="O30" s="70">
        <v>0.23</v>
      </c>
      <c r="P30" s="70">
        <v>0.28000000000000003</v>
      </c>
      <c r="Q30" s="70">
        <v>0.38</v>
      </c>
      <c r="R30" s="74">
        <v>0.5</v>
      </c>
      <c r="S30" s="46"/>
      <c r="V30" s="48"/>
      <c r="W30" s="48"/>
      <c r="X30" s="48"/>
      <c r="Y30" s="48"/>
      <c r="Z30" s="48"/>
      <c r="AA30" s="48"/>
      <c r="AB30" s="48"/>
      <c r="AC30" s="48"/>
      <c r="AD30" s="48"/>
      <c r="AI30" s="38" t="s">
        <v>216</v>
      </c>
      <c r="AJ30" s="38">
        <v>2030</v>
      </c>
      <c r="AK30" s="39" t="s">
        <v>213</v>
      </c>
      <c r="AL30" s="69" t="s">
        <v>141</v>
      </c>
      <c r="AM30" s="48" t="s">
        <v>196</v>
      </c>
      <c r="AN30" s="48" t="s">
        <v>93</v>
      </c>
      <c r="AO30" s="48">
        <v>2.6656478128544076E-3</v>
      </c>
      <c r="AQ30" s="38" t="s">
        <v>216</v>
      </c>
      <c r="AR30" s="38">
        <v>2030</v>
      </c>
      <c r="AS30" s="39" t="s">
        <v>210</v>
      </c>
      <c r="AT30" s="69" t="s">
        <v>141</v>
      </c>
      <c r="AU30" s="48" t="s">
        <v>196</v>
      </c>
      <c r="AV30" s="48" t="s">
        <v>94</v>
      </c>
      <c r="AW30" s="49">
        <v>0.2058007025089606</v>
      </c>
    </row>
    <row r="31" spans="2:49" s="49" customFormat="1" x14ac:dyDescent="0.25">
      <c r="B31" s="53" t="str">
        <f>X23</f>
        <v>GASBoiler</v>
      </c>
      <c r="C31" s="53"/>
      <c r="D31" s="53" t="s">
        <v>125</v>
      </c>
      <c r="E31" s="46">
        <v>2030</v>
      </c>
      <c r="F31" s="74"/>
      <c r="G31" s="70"/>
      <c r="H31" s="70">
        <v>1</v>
      </c>
      <c r="I31" s="46">
        <v>100</v>
      </c>
      <c r="J31" s="70">
        <v>0</v>
      </c>
      <c r="K31" s="70"/>
      <c r="L31" s="70"/>
      <c r="M31" s="70">
        <v>8.76</v>
      </c>
      <c r="N31" s="46"/>
      <c r="O31" s="46"/>
      <c r="P31" s="46"/>
      <c r="Q31" s="46"/>
      <c r="R31" s="46"/>
      <c r="S31" s="46"/>
      <c r="V31" s="48"/>
      <c r="W31" s="48"/>
      <c r="X31" s="48"/>
      <c r="Y31" s="48"/>
      <c r="Z31" s="48"/>
      <c r="AA31" s="48"/>
      <c r="AB31" s="48"/>
      <c r="AC31" s="48"/>
      <c r="AD31" s="48"/>
      <c r="AI31" s="38" t="s">
        <v>216</v>
      </c>
      <c r="AJ31" s="38">
        <v>2030</v>
      </c>
      <c r="AK31" s="39" t="s">
        <v>213</v>
      </c>
      <c r="AL31" s="48" t="s">
        <v>142</v>
      </c>
      <c r="AM31" s="48" t="s">
        <v>196</v>
      </c>
      <c r="AN31" s="48" t="s">
        <v>93</v>
      </c>
      <c r="AO31" s="48">
        <v>2.4530677112863486E-3</v>
      </c>
      <c r="AQ31" s="38" t="s">
        <v>216</v>
      </c>
      <c r="AR31" s="38">
        <v>2030</v>
      </c>
      <c r="AS31" s="39" t="s">
        <v>210</v>
      </c>
      <c r="AT31" s="48" t="s">
        <v>142</v>
      </c>
      <c r="AU31" s="48" t="s">
        <v>196</v>
      </c>
      <c r="AV31" s="48" t="s">
        <v>94</v>
      </c>
      <c r="AW31" s="49">
        <v>0.27468446594982077</v>
      </c>
    </row>
    <row r="32" spans="2:49" s="49" customFormat="1" x14ac:dyDescent="0.25">
      <c r="B32" s="53" t="s">
        <v>214</v>
      </c>
      <c r="C32" s="53" t="s">
        <v>213</v>
      </c>
      <c r="D32" s="53" t="s">
        <v>69</v>
      </c>
      <c r="E32" s="46">
        <v>2030</v>
      </c>
      <c r="F32" s="71"/>
      <c r="G32" s="49">
        <v>1</v>
      </c>
      <c r="H32" s="49">
        <v>1</v>
      </c>
      <c r="I32" s="46">
        <v>100</v>
      </c>
      <c r="J32" s="70">
        <v>0</v>
      </c>
      <c r="K32" s="48"/>
      <c r="M32" s="70">
        <v>8.76</v>
      </c>
      <c r="V32" s="48"/>
      <c r="W32" s="48"/>
      <c r="X32" s="48"/>
      <c r="Y32" s="48"/>
      <c r="Z32" s="48"/>
      <c r="AA32" s="48"/>
      <c r="AB32" s="48"/>
      <c r="AC32" s="48"/>
      <c r="AD32" s="48"/>
      <c r="AI32" s="38" t="s">
        <v>216</v>
      </c>
      <c r="AJ32" s="38">
        <v>2030</v>
      </c>
      <c r="AK32" s="39" t="s">
        <v>213</v>
      </c>
      <c r="AL32" s="69" t="s">
        <v>143</v>
      </c>
      <c r="AM32" s="48" t="s">
        <v>196</v>
      </c>
      <c r="AN32" s="48" t="s">
        <v>93</v>
      </c>
      <c r="AO32" s="48">
        <v>2.1363241345921055E-3</v>
      </c>
      <c r="AQ32" s="38" t="s">
        <v>216</v>
      </c>
      <c r="AR32" s="38">
        <v>2030</v>
      </c>
      <c r="AS32" s="39" t="s">
        <v>210</v>
      </c>
      <c r="AT32" s="69" t="s">
        <v>143</v>
      </c>
      <c r="AU32" s="48" t="s">
        <v>196</v>
      </c>
      <c r="AV32" s="48" t="s">
        <v>94</v>
      </c>
      <c r="AW32" s="49">
        <v>0.32637437275985665</v>
      </c>
    </row>
    <row r="33" spans="2:49" s="49" customFormat="1" x14ac:dyDescent="0.25">
      <c r="B33" s="53" t="s">
        <v>214</v>
      </c>
      <c r="C33" s="53" t="s">
        <v>210</v>
      </c>
      <c r="D33" s="53" t="s">
        <v>69</v>
      </c>
      <c r="E33" s="46">
        <v>2030</v>
      </c>
      <c r="F33" s="71"/>
      <c r="G33" s="49">
        <v>1</v>
      </c>
      <c r="H33" s="49">
        <v>1</v>
      </c>
      <c r="I33" s="46">
        <v>100</v>
      </c>
      <c r="J33" s="70">
        <v>0</v>
      </c>
      <c r="K33" s="48"/>
      <c r="M33" s="70">
        <v>8.76</v>
      </c>
      <c r="V33" s="48"/>
      <c r="W33" s="48"/>
      <c r="X33" s="48"/>
      <c r="Y33" s="48"/>
      <c r="Z33" s="48"/>
      <c r="AA33" s="48"/>
      <c r="AB33" s="48"/>
      <c r="AC33" s="48"/>
      <c r="AD33" s="48"/>
      <c r="AI33" s="38" t="s">
        <v>216</v>
      </c>
      <c r="AJ33" s="38">
        <v>2030</v>
      </c>
      <c r="AK33" s="39" t="s">
        <v>213</v>
      </c>
      <c r="AL33" s="48" t="s">
        <v>144</v>
      </c>
      <c r="AM33" s="48" t="s">
        <v>196</v>
      </c>
      <c r="AN33" s="48" t="s">
        <v>93</v>
      </c>
      <c r="AO33" s="48">
        <v>1.8660639529435976E-3</v>
      </c>
      <c r="AQ33" s="38" t="s">
        <v>216</v>
      </c>
      <c r="AR33" s="38">
        <v>2030</v>
      </c>
      <c r="AS33" s="39" t="s">
        <v>210</v>
      </c>
      <c r="AT33" s="48" t="s">
        <v>144</v>
      </c>
      <c r="AU33" s="48" t="s">
        <v>196</v>
      </c>
      <c r="AV33" s="48" t="s">
        <v>94</v>
      </c>
      <c r="AW33" s="49">
        <v>0.35267560573476697</v>
      </c>
    </row>
    <row r="34" spans="2:49" s="49" customFormat="1" x14ac:dyDescent="0.25">
      <c r="B34" s="48"/>
      <c r="C34" s="53"/>
      <c r="D34" s="53"/>
      <c r="E34" s="70"/>
      <c r="F34" s="71"/>
      <c r="K34" s="48"/>
      <c r="V34" s="48"/>
      <c r="W34" s="48"/>
      <c r="X34" s="48"/>
      <c r="Y34" s="48"/>
      <c r="Z34" s="48"/>
      <c r="AA34" s="48"/>
      <c r="AB34" s="48"/>
      <c r="AC34" s="48"/>
      <c r="AD34" s="48"/>
      <c r="AI34" s="38" t="s">
        <v>216</v>
      </c>
      <c r="AJ34" s="38">
        <v>2030</v>
      </c>
      <c r="AK34" s="39" t="s">
        <v>213</v>
      </c>
      <c r="AL34" s="69" t="s">
        <v>145</v>
      </c>
      <c r="AM34" s="48" t="s">
        <v>196</v>
      </c>
      <c r="AN34" s="48" t="s">
        <v>93</v>
      </c>
      <c r="AO34" s="48">
        <v>1.7487528282965712E-3</v>
      </c>
      <c r="AQ34" s="38" t="s">
        <v>216</v>
      </c>
      <c r="AR34" s="38">
        <v>2030</v>
      </c>
      <c r="AS34" s="39" t="s">
        <v>210</v>
      </c>
      <c r="AT34" s="69" t="s">
        <v>145</v>
      </c>
      <c r="AU34" s="48" t="s">
        <v>196</v>
      </c>
      <c r="AV34" s="48" t="s">
        <v>94</v>
      </c>
      <c r="AW34" s="49">
        <v>0.34322033691756271</v>
      </c>
    </row>
    <row r="35" spans="2:49" s="49" customFormat="1" x14ac:dyDescent="0.25">
      <c r="B35" s="53"/>
      <c r="C35" s="53"/>
      <c r="D35" s="53"/>
      <c r="E35" s="70"/>
      <c r="F35" s="71"/>
      <c r="J35" s="72"/>
      <c r="K35" s="48"/>
      <c r="V35" s="38"/>
      <c r="W35" s="38"/>
      <c r="X35" s="39"/>
      <c r="Y35" s="40"/>
      <c r="Z35" s="38"/>
      <c r="AA35" s="38"/>
      <c r="AB35" s="38"/>
      <c r="AC35" s="48"/>
      <c r="AD35" s="48"/>
      <c r="AI35" s="38" t="s">
        <v>216</v>
      </c>
      <c r="AJ35" s="38">
        <v>2030</v>
      </c>
      <c r="AK35" s="39" t="s">
        <v>213</v>
      </c>
      <c r="AL35" s="48" t="s">
        <v>146</v>
      </c>
      <c r="AM35" s="48" t="s">
        <v>196</v>
      </c>
      <c r="AN35" s="48" t="s">
        <v>93</v>
      </c>
      <c r="AO35" s="48">
        <v>1.6637860863902745E-3</v>
      </c>
      <c r="AQ35" s="38" t="s">
        <v>216</v>
      </c>
      <c r="AR35" s="38">
        <v>2030</v>
      </c>
      <c r="AS35" s="39" t="s">
        <v>210</v>
      </c>
      <c r="AT35" s="48" t="s">
        <v>146</v>
      </c>
      <c r="AU35" s="48" t="s">
        <v>196</v>
      </c>
      <c r="AV35" s="48" t="s">
        <v>94</v>
      </c>
      <c r="AW35" s="49">
        <v>0.30308891039426522</v>
      </c>
    </row>
    <row r="36" spans="2:49" s="49" customFormat="1" x14ac:dyDescent="0.25">
      <c r="B36" s="53"/>
      <c r="C36" s="48"/>
      <c r="D36" s="53"/>
      <c r="E36" s="70"/>
      <c r="F36" s="73"/>
      <c r="G36" s="48"/>
      <c r="H36" s="48"/>
      <c r="I36" s="48"/>
      <c r="J36" s="74"/>
      <c r="K36" s="48"/>
      <c r="V36" s="38"/>
      <c r="W36" s="38"/>
      <c r="X36" s="39"/>
      <c r="Y36" s="40"/>
      <c r="Z36" s="38"/>
      <c r="AA36" s="38"/>
      <c r="AB36" s="38"/>
      <c r="AC36" s="48"/>
      <c r="AD36" s="48"/>
      <c r="AI36" s="38" t="s">
        <v>216</v>
      </c>
      <c r="AJ36" s="38">
        <v>2030</v>
      </c>
      <c r="AK36" s="39" t="s">
        <v>213</v>
      </c>
      <c r="AL36" s="69" t="s">
        <v>147</v>
      </c>
      <c r="AM36" s="48" t="s">
        <v>196</v>
      </c>
      <c r="AN36" s="48" t="s">
        <v>93</v>
      </c>
      <c r="AO36" s="48">
        <v>1.8211742012316831E-3</v>
      </c>
      <c r="AQ36" s="38" t="s">
        <v>216</v>
      </c>
      <c r="AR36" s="38">
        <v>2030</v>
      </c>
      <c r="AS36" s="39" t="s">
        <v>210</v>
      </c>
      <c r="AT36" s="69" t="s">
        <v>147</v>
      </c>
      <c r="AU36" s="48" t="s">
        <v>196</v>
      </c>
      <c r="AV36" s="48" t="s">
        <v>94</v>
      </c>
      <c r="AW36" s="49">
        <v>0.23170381362007167</v>
      </c>
    </row>
    <row r="37" spans="2:49" s="49" customFormat="1" ht="13" x14ac:dyDescent="0.3">
      <c r="B37" s="48"/>
      <c r="C37" s="48"/>
      <c r="D37" s="48"/>
      <c r="E37" s="70"/>
      <c r="F37" s="73"/>
      <c r="G37" s="48"/>
      <c r="H37" s="48"/>
      <c r="I37" s="48"/>
      <c r="J37" s="74"/>
      <c r="K37" s="48"/>
      <c r="V37" s="48"/>
      <c r="W37" s="48"/>
      <c r="X37" s="48"/>
      <c r="Y37" s="48"/>
      <c r="Z37" s="53"/>
      <c r="AA37" s="53"/>
      <c r="AB37" s="68"/>
      <c r="AC37" s="48"/>
      <c r="AD37" s="48"/>
      <c r="AI37" s="38" t="s">
        <v>216</v>
      </c>
      <c r="AJ37" s="38">
        <v>2030</v>
      </c>
      <c r="AK37" s="39" t="s">
        <v>213</v>
      </c>
      <c r="AL37" s="48" t="s">
        <v>148</v>
      </c>
      <c r="AM37" s="48" t="s">
        <v>196</v>
      </c>
      <c r="AN37" s="48" t="s">
        <v>93</v>
      </c>
      <c r="AO37" s="48">
        <v>1.9153018835258307E-3</v>
      </c>
      <c r="AQ37" s="38" t="s">
        <v>216</v>
      </c>
      <c r="AR37" s="38">
        <v>2030</v>
      </c>
      <c r="AS37" s="39" t="s">
        <v>210</v>
      </c>
      <c r="AT37" s="48" t="s">
        <v>148</v>
      </c>
      <c r="AU37" s="48" t="s">
        <v>196</v>
      </c>
      <c r="AV37" s="48" t="s">
        <v>94</v>
      </c>
      <c r="AW37" s="49">
        <v>0.14172651612903225</v>
      </c>
    </row>
    <row r="38" spans="2:49" x14ac:dyDescent="0.25">
      <c r="F38" s="73"/>
      <c r="G38" s="46"/>
      <c r="H38" s="75"/>
      <c r="W38" s="49"/>
      <c r="Y38" s="49"/>
      <c r="Z38" s="57"/>
      <c r="AA38" s="57"/>
      <c r="AI38" s="38" t="s">
        <v>216</v>
      </c>
      <c r="AJ38" s="38">
        <v>2030</v>
      </c>
      <c r="AK38" s="39" t="s">
        <v>213</v>
      </c>
      <c r="AL38" s="69" t="s">
        <v>149</v>
      </c>
      <c r="AM38" s="48" t="s">
        <v>196</v>
      </c>
      <c r="AN38" s="48" t="s">
        <v>93</v>
      </c>
      <c r="AO38" s="48">
        <v>1.9744590518638132E-3</v>
      </c>
      <c r="AQ38" s="38" t="s">
        <v>216</v>
      </c>
      <c r="AR38" s="38">
        <v>2030</v>
      </c>
      <c r="AS38" s="39" t="s">
        <v>210</v>
      </c>
      <c r="AT38" s="69" t="s">
        <v>149</v>
      </c>
      <c r="AU38" s="48" t="s">
        <v>196</v>
      </c>
      <c r="AV38" s="48" t="s">
        <v>94</v>
      </c>
      <c r="AW38" s="48">
        <v>5.3895483870967743E-2</v>
      </c>
    </row>
    <row r="39" spans="2:49" x14ac:dyDescent="0.25">
      <c r="H39" s="75"/>
      <c r="AI39" s="38" t="s">
        <v>216</v>
      </c>
      <c r="AJ39" s="38">
        <v>2030</v>
      </c>
      <c r="AK39" s="39" t="s">
        <v>213</v>
      </c>
      <c r="AL39" s="48" t="s">
        <v>150</v>
      </c>
      <c r="AM39" s="48" t="s">
        <v>196</v>
      </c>
      <c r="AN39" s="48" t="s">
        <v>93</v>
      </c>
      <c r="AO39" s="48">
        <v>2.1878436160058393E-3</v>
      </c>
      <c r="AQ39" s="38" t="s">
        <v>216</v>
      </c>
      <c r="AR39" s="38">
        <v>2030</v>
      </c>
      <c r="AS39" s="39" t="s">
        <v>210</v>
      </c>
      <c r="AT39" s="48" t="s">
        <v>150</v>
      </c>
      <c r="AU39" s="48" t="s">
        <v>196</v>
      </c>
      <c r="AV39" s="48" t="s">
        <v>94</v>
      </c>
      <c r="AW39" s="48">
        <v>2.6301935483870969E-3</v>
      </c>
    </row>
    <row r="40" spans="2:49" x14ac:dyDescent="0.25">
      <c r="B40" s="76"/>
      <c r="C40" s="48" t="s">
        <v>82</v>
      </c>
      <c r="H40" s="75"/>
      <c r="AI40" s="38" t="s">
        <v>216</v>
      </c>
      <c r="AJ40" s="38">
        <v>2030</v>
      </c>
      <c r="AK40" s="39" t="s">
        <v>213</v>
      </c>
      <c r="AL40" s="69" t="s">
        <v>151</v>
      </c>
      <c r="AM40" s="48" t="s">
        <v>196</v>
      </c>
      <c r="AN40" s="48" t="s">
        <v>93</v>
      </c>
      <c r="AO40" s="48">
        <v>2.3889741533883327E-3</v>
      </c>
      <c r="AQ40" s="38" t="s">
        <v>216</v>
      </c>
      <c r="AR40" s="38">
        <v>2030</v>
      </c>
      <c r="AS40" s="39" t="s">
        <v>210</v>
      </c>
      <c r="AT40" s="69" t="s">
        <v>151</v>
      </c>
      <c r="AU40" s="48" t="s">
        <v>196</v>
      </c>
      <c r="AV40" s="48" t="s">
        <v>94</v>
      </c>
      <c r="AW40" s="48">
        <v>0</v>
      </c>
    </row>
    <row r="41" spans="2:49" x14ac:dyDescent="0.25">
      <c r="B41" s="77"/>
      <c r="C41" s="48" t="s">
        <v>83</v>
      </c>
      <c r="H41" s="75"/>
      <c r="AI41" s="38" t="s">
        <v>216</v>
      </c>
      <c r="AJ41" s="38">
        <v>2030</v>
      </c>
      <c r="AK41" s="39" t="s">
        <v>213</v>
      </c>
      <c r="AL41" s="48" t="s">
        <v>152</v>
      </c>
      <c r="AM41" s="48" t="s">
        <v>196</v>
      </c>
      <c r="AN41" s="48" t="s">
        <v>93</v>
      </c>
      <c r="AO41" s="48">
        <v>2.4063426997311056E-3</v>
      </c>
      <c r="AQ41" s="38" t="s">
        <v>216</v>
      </c>
      <c r="AR41" s="38">
        <v>2030</v>
      </c>
      <c r="AS41" s="39" t="s">
        <v>210</v>
      </c>
      <c r="AT41" s="48" t="s">
        <v>152</v>
      </c>
      <c r="AU41" s="48" t="s">
        <v>196</v>
      </c>
      <c r="AV41" s="48" t="s">
        <v>94</v>
      </c>
      <c r="AW41" s="48">
        <v>0</v>
      </c>
    </row>
    <row r="42" spans="2:49" x14ac:dyDescent="0.25">
      <c r="E42" s="48" t="s">
        <v>89</v>
      </c>
      <c r="F42" s="48" t="s">
        <v>90</v>
      </c>
      <c r="H42" s="75"/>
      <c r="AI42" s="38" t="s">
        <v>216</v>
      </c>
      <c r="AJ42" s="38">
        <v>2030</v>
      </c>
      <c r="AK42" s="39" t="s">
        <v>213</v>
      </c>
      <c r="AL42" s="69" t="s">
        <v>153</v>
      </c>
      <c r="AM42" s="48" t="s">
        <v>196</v>
      </c>
      <c r="AN42" s="48" t="s">
        <v>93</v>
      </c>
      <c r="AO42" s="48">
        <v>2.5925256698099051E-3</v>
      </c>
      <c r="AQ42" s="38" t="s">
        <v>216</v>
      </c>
      <c r="AR42" s="38">
        <v>2030</v>
      </c>
      <c r="AS42" s="39" t="s">
        <v>210</v>
      </c>
      <c r="AT42" s="69" t="s">
        <v>153</v>
      </c>
      <c r="AU42" s="48" t="s">
        <v>196</v>
      </c>
      <c r="AV42" s="48" t="s">
        <v>94</v>
      </c>
      <c r="AW42" s="48">
        <v>0</v>
      </c>
    </row>
    <row r="43" spans="2:49" x14ac:dyDescent="0.25">
      <c r="AI43" s="38" t="s">
        <v>216</v>
      </c>
      <c r="AJ43" s="38">
        <v>2030</v>
      </c>
      <c r="AK43" s="39" t="s">
        <v>213</v>
      </c>
      <c r="AL43" s="48" t="s">
        <v>154</v>
      </c>
      <c r="AM43" s="48" t="s">
        <v>196</v>
      </c>
      <c r="AN43" s="48" t="s">
        <v>93</v>
      </c>
      <c r="AO43" s="48">
        <v>2.9724559200622644E-3</v>
      </c>
      <c r="AQ43" s="38" t="s">
        <v>216</v>
      </c>
      <c r="AR43" s="38">
        <v>2030</v>
      </c>
      <c r="AS43" s="39" t="s">
        <v>210</v>
      </c>
      <c r="AT43" s="48" t="s">
        <v>154</v>
      </c>
      <c r="AU43" s="48" t="s">
        <v>196</v>
      </c>
      <c r="AV43" s="48" t="s">
        <v>94</v>
      </c>
      <c r="AW43" s="48">
        <v>0</v>
      </c>
    </row>
    <row r="44" spans="2:49" x14ac:dyDescent="0.25">
      <c r="E44" s="48" t="s">
        <v>91</v>
      </c>
      <c r="F44" s="48">
        <f>24*365</f>
        <v>8760</v>
      </c>
      <c r="AI44" s="38" t="s">
        <v>216</v>
      </c>
      <c r="AJ44" s="38">
        <v>2030</v>
      </c>
      <c r="AK44" s="39" t="s">
        <v>213</v>
      </c>
      <c r="AL44" s="69" t="s">
        <v>155</v>
      </c>
      <c r="AM44" s="48" t="s">
        <v>196</v>
      </c>
      <c r="AN44" s="48" t="s">
        <v>93</v>
      </c>
      <c r="AO44" s="48">
        <v>3.3823091606694387E-3</v>
      </c>
      <c r="AQ44" s="38" t="s">
        <v>216</v>
      </c>
      <c r="AR44" s="38">
        <v>2030</v>
      </c>
      <c r="AS44" s="39" t="s">
        <v>210</v>
      </c>
      <c r="AT44" s="69" t="s">
        <v>155</v>
      </c>
      <c r="AU44" s="48" t="s">
        <v>196</v>
      </c>
      <c r="AV44" s="48" t="s">
        <v>94</v>
      </c>
      <c r="AW44" s="48">
        <v>0</v>
      </c>
    </row>
    <row r="45" spans="2:49" x14ac:dyDescent="0.25">
      <c r="E45" s="46"/>
      <c r="AI45" s="38" t="s">
        <v>216</v>
      </c>
      <c r="AJ45" s="38">
        <v>2030</v>
      </c>
      <c r="AK45" s="39" t="s">
        <v>213</v>
      </c>
      <c r="AL45" s="38" t="s">
        <v>156</v>
      </c>
      <c r="AM45" s="48" t="s">
        <v>196</v>
      </c>
      <c r="AN45" s="48" t="s">
        <v>93</v>
      </c>
      <c r="AO45" s="48">
        <v>3.3051976250754521E-3</v>
      </c>
      <c r="AQ45" s="38" t="s">
        <v>216</v>
      </c>
      <c r="AR45" s="38">
        <v>2030</v>
      </c>
      <c r="AS45" s="39" t="s">
        <v>210</v>
      </c>
      <c r="AT45" s="38" t="s">
        <v>156</v>
      </c>
      <c r="AU45" s="48" t="s">
        <v>196</v>
      </c>
      <c r="AV45" s="48" t="s">
        <v>94</v>
      </c>
      <c r="AW45" s="48">
        <v>0</v>
      </c>
    </row>
    <row r="46" spans="2:49" x14ac:dyDescent="0.25">
      <c r="AI46" s="38" t="s">
        <v>216</v>
      </c>
      <c r="AJ46" s="38">
        <v>2030</v>
      </c>
      <c r="AK46" s="39" t="s">
        <v>213</v>
      </c>
      <c r="AL46" s="38" t="s">
        <v>157</v>
      </c>
      <c r="AM46" s="48" t="s">
        <v>196</v>
      </c>
      <c r="AN46" s="48" t="s">
        <v>93</v>
      </c>
      <c r="AO46" s="48">
        <v>3.1618331753269246E-3</v>
      </c>
      <c r="AQ46" s="38" t="s">
        <v>216</v>
      </c>
      <c r="AR46" s="38">
        <v>2030</v>
      </c>
      <c r="AS46" s="39" t="s">
        <v>210</v>
      </c>
      <c r="AT46" s="38" t="s">
        <v>157</v>
      </c>
      <c r="AU46" s="48" t="s">
        <v>196</v>
      </c>
      <c r="AV46" s="48" t="s">
        <v>94</v>
      </c>
      <c r="AW46" s="48">
        <v>0</v>
      </c>
    </row>
    <row r="47" spans="2:49" x14ac:dyDescent="0.25">
      <c r="AI47" s="38" t="s">
        <v>216</v>
      </c>
      <c r="AJ47" s="38">
        <v>2030</v>
      </c>
      <c r="AK47" s="39" t="s">
        <v>213</v>
      </c>
      <c r="AL47" s="38" t="s">
        <v>158</v>
      </c>
      <c r="AM47" s="48" t="s">
        <v>196</v>
      </c>
      <c r="AN47" s="48" t="s">
        <v>93</v>
      </c>
      <c r="AO47" s="48">
        <v>2.8979409360310663E-3</v>
      </c>
      <c r="AQ47" s="38" t="s">
        <v>216</v>
      </c>
      <c r="AR47" s="38">
        <v>2030</v>
      </c>
      <c r="AS47" s="39" t="s">
        <v>210</v>
      </c>
      <c r="AT47" s="38" t="s">
        <v>158</v>
      </c>
      <c r="AU47" s="48" t="s">
        <v>196</v>
      </c>
      <c r="AV47" s="48" t="s">
        <v>94</v>
      </c>
      <c r="AW47" s="48">
        <v>0</v>
      </c>
    </row>
    <row r="48" spans="2:49" x14ac:dyDescent="0.25">
      <c r="AI48" s="38" t="s">
        <v>216</v>
      </c>
      <c r="AJ48" s="38">
        <v>2030</v>
      </c>
      <c r="AK48" s="39" t="s">
        <v>213</v>
      </c>
      <c r="AL48" s="38" t="s">
        <v>159</v>
      </c>
      <c r="AM48" s="48" t="s">
        <v>196</v>
      </c>
      <c r="AN48" s="48" t="s">
        <v>93</v>
      </c>
      <c r="AO48" s="48">
        <v>2.7156926103261707E-3</v>
      </c>
      <c r="AQ48" s="38" t="s">
        <v>216</v>
      </c>
      <c r="AR48" s="38">
        <v>2030</v>
      </c>
      <c r="AS48" s="39" t="s">
        <v>210</v>
      </c>
      <c r="AT48" s="38" t="s">
        <v>159</v>
      </c>
      <c r="AU48" s="48" t="s">
        <v>196</v>
      </c>
      <c r="AV48" s="48" t="s">
        <v>94</v>
      </c>
      <c r="AW48" s="48">
        <v>0</v>
      </c>
    </row>
    <row r="49" spans="2:49" x14ac:dyDescent="0.25">
      <c r="AI49" s="38" t="s">
        <v>216</v>
      </c>
      <c r="AJ49" s="38">
        <v>2030</v>
      </c>
      <c r="AK49" s="39" t="s">
        <v>213</v>
      </c>
      <c r="AL49" s="38" t="s">
        <v>160</v>
      </c>
      <c r="AM49" s="48" t="s">
        <v>196</v>
      </c>
      <c r="AN49" s="48" t="s">
        <v>93</v>
      </c>
      <c r="AO49" s="48">
        <v>2.5452192095824343E-3</v>
      </c>
      <c r="AQ49" s="38" t="s">
        <v>216</v>
      </c>
      <c r="AR49" s="38">
        <v>2030</v>
      </c>
      <c r="AS49" s="39" t="s">
        <v>210</v>
      </c>
      <c r="AT49" s="38" t="s">
        <v>160</v>
      </c>
      <c r="AU49" s="48" t="s">
        <v>196</v>
      </c>
      <c r="AV49" s="48" t="s">
        <v>94</v>
      </c>
      <c r="AW49" s="48">
        <v>0</v>
      </c>
    </row>
    <row r="50" spans="2:49" x14ac:dyDescent="0.25">
      <c r="AI50" s="38" t="s">
        <v>216</v>
      </c>
      <c r="AJ50" s="38">
        <v>2030</v>
      </c>
      <c r="AK50" s="39" t="s">
        <v>213</v>
      </c>
      <c r="AL50" s="38" t="s">
        <v>161</v>
      </c>
      <c r="AM50" s="48" t="s">
        <v>196</v>
      </c>
      <c r="AN50" s="48" t="s">
        <v>93</v>
      </c>
      <c r="AO50" s="48">
        <v>2.5834450529081338E-3</v>
      </c>
      <c r="AQ50" s="38" t="s">
        <v>216</v>
      </c>
      <c r="AR50" s="38">
        <v>2030</v>
      </c>
      <c r="AS50" s="39" t="s">
        <v>210</v>
      </c>
      <c r="AT50" s="38" t="s">
        <v>161</v>
      </c>
      <c r="AU50" s="48" t="s">
        <v>196</v>
      </c>
      <c r="AV50" s="48" t="s">
        <v>94</v>
      </c>
      <c r="AW50" s="48">
        <v>0</v>
      </c>
    </row>
    <row r="51" spans="2:49" x14ac:dyDescent="0.25">
      <c r="AI51" s="38" t="s">
        <v>216</v>
      </c>
      <c r="AJ51" s="38">
        <v>2030</v>
      </c>
      <c r="AK51" s="39" t="s">
        <v>213</v>
      </c>
      <c r="AL51" s="38" t="s">
        <v>162</v>
      </c>
      <c r="AM51" s="48" t="s">
        <v>196</v>
      </c>
      <c r="AN51" s="48" t="s">
        <v>93</v>
      </c>
      <c r="AO51" s="48">
        <v>2.7432881310744317E-3</v>
      </c>
      <c r="AQ51" s="38" t="s">
        <v>216</v>
      </c>
      <c r="AR51" s="38">
        <v>2030</v>
      </c>
      <c r="AS51" s="39" t="s">
        <v>210</v>
      </c>
      <c r="AT51" s="38" t="s">
        <v>162</v>
      </c>
      <c r="AU51" s="48" t="s">
        <v>196</v>
      </c>
      <c r="AV51" s="48" t="s">
        <v>94</v>
      </c>
      <c r="AW51" s="48">
        <v>6.4190919952210254E-3</v>
      </c>
    </row>
    <row r="52" spans="2:49" ht="13" x14ac:dyDescent="0.3">
      <c r="B52" s="79" t="s">
        <v>184</v>
      </c>
      <c r="C52" s="79"/>
      <c r="D52"/>
      <c r="E52"/>
      <c r="F52"/>
      <c r="G52"/>
      <c r="H52"/>
      <c r="I52"/>
      <c r="J52"/>
      <c r="K52"/>
      <c r="L52"/>
      <c r="AI52" s="38" t="s">
        <v>216</v>
      </c>
      <c r="AJ52" s="38">
        <v>2030</v>
      </c>
      <c r="AK52" s="39" t="s">
        <v>213</v>
      </c>
      <c r="AL52" s="38" t="s">
        <v>163</v>
      </c>
      <c r="AM52" s="48" t="s">
        <v>196</v>
      </c>
      <c r="AN52" s="48" t="s">
        <v>93</v>
      </c>
      <c r="AO52" s="48">
        <v>2.8314721319216154E-3</v>
      </c>
      <c r="AQ52" s="38" t="s">
        <v>216</v>
      </c>
      <c r="AR52" s="38">
        <v>2030</v>
      </c>
      <c r="AS52" s="39" t="s">
        <v>210</v>
      </c>
      <c r="AT52" s="38" t="s">
        <v>163</v>
      </c>
      <c r="AU52" s="48" t="s">
        <v>196</v>
      </c>
      <c r="AV52" s="48" t="s">
        <v>94</v>
      </c>
      <c r="AW52" s="48">
        <v>7.0838474313022717E-2</v>
      </c>
    </row>
    <row r="53" spans="2:49" ht="13" x14ac:dyDescent="0.3">
      <c r="B53" s="79"/>
      <c r="C53" s="79"/>
      <c r="D53"/>
      <c r="E53"/>
      <c r="F53"/>
      <c r="G53"/>
      <c r="H53"/>
      <c r="I53"/>
      <c r="J53"/>
      <c r="K53"/>
      <c r="L53"/>
      <c r="AI53" s="38" t="s">
        <v>216</v>
      </c>
      <c r="AJ53" s="38">
        <v>2030</v>
      </c>
      <c r="AK53" s="39" t="s">
        <v>213</v>
      </c>
      <c r="AL53" s="38" t="s">
        <v>164</v>
      </c>
      <c r="AM53" s="48" t="s">
        <v>196</v>
      </c>
      <c r="AN53" s="48" t="s">
        <v>93</v>
      </c>
      <c r="AO53" s="48">
        <v>2.8141143326017269E-3</v>
      </c>
      <c r="AQ53" s="38" t="s">
        <v>216</v>
      </c>
      <c r="AR53" s="38">
        <v>2030</v>
      </c>
      <c r="AS53" s="39" t="s">
        <v>210</v>
      </c>
      <c r="AT53" s="38" t="s">
        <v>164</v>
      </c>
      <c r="AU53" s="48" t="s">
        <v>196</v>
      </c>
      <c r="AV53" s="48" t="s">
        <v>94</v>
      </c>
      <c r="AW53" s="48">
        <v>0.15999428793309439</v>
      </c>
    </row>
    <row r="54" spans="2:49" ht="13" thickBot="1" x14ac:dyDescent="0.3">
      <c r="B54" s="80" t="s">
        <v>185</v>
      </c>
      <c r="C54" s="80" t="s">
        <v>186</v>
      </c>
      <c r="D54" s="80" t="s">
        <v>11</v>
      </c>
      <c r="E54" s="80" t="s">
        <v>130</v>
      </c>
      <c r="F54" s="80">
        <v>2022</v>
      </c>
      <c r="G54" s="80">
        <v>2025</v>
      </c>
      <c r="H54" s="80">
        <v>2030</v>
      </c>
      <c r="I54" s="80">
        <v>2035</v>
      </c>
      <c r="J54" s="80">
        <v>2040</v>
      </c>
      <c r="K54" s="80">
        <v>2045</v>
      </c>
      <c r="L54" s="80">
        <v>2050</v>
      </c>
      <c r="AI54" s="38" t="s">
        <v>216</v>
      </c>
      <c r="AJ54" s="38">
        <v>2030</v>
      </c>
      <c r="AK54" s="39" t="s">
        <v>213</v>
      </c>
      <c r="AL54" s="38" t="s">
        <v>165</v>
      </c>
      <c r="AM54" s="48" t="s">
        <v>196</v>
      </c>
      <c r="AN54" s="48" t="s">
        <v>93</v>
      </c>
      <c r="AO54" s="48">
        <v>2.6656478128544076E-3</v>
      </c>
      <c r="AQ54" s="38" t="s">
        <v>216</v>
      </c>
      <c r="AR54" s="38">
        <v>2030</v>
      </c>
      <c r="AS54" s="39" t="s">
        <v>210</v>
      </c>
      <c r="AT54" s="38" t="s">
        <v>165</v>
      </c>
      <c r="AU54" s="48" t="s">
        <v>196</v>
      </c>
      <c r="AV54" s="48" t="s">
        <v>94</v>
      </c>
      <c r="AW54" s="48">
        <v>0.25343209199522099</v>
      </c>
    </row>
    <row r="55" spans="2:49" x14ac:dyDescent="0.25">
      <c r="B55" t="s">
        <v>121</v>
      </c>
      <c r="C55" t="s">
        <v>94</v>
      </c>
      <c r="D55" t="s">
        <v>188</v>
      </c>
      <c r="E55" s="1" t="s">
        <v>189</v>
      </c>
      <c r="F55">
        <v>0</v>
      </c>
      <c r="G55">
        <v>0</v>
      </c>
      <c r="H55"/>
      <c r="I55"/>
      <c r="J55"/>
      <c r="K55"/>
      <c r="L55"/>
      <c r="AI55" s="38" t="s">
        <v>216</v>
      </c>
      <c r="AJ55" s="38">
        <v>2030</v>
      </c>
      <c r="AK55" s="39" t="s">
        <v>213</v>
      </c>
      <c r="AL55" s="38" t="s">
        <v>166</v>
      </c>
      <c r="AM55" s="48" t="s">
        <v>196</v>
      </c>
      <c r="AN55" s="48" t="s">
        <v>93</v>
      </c>
      <c r="AO55" s="48">
        <v>2.4530677112863486E-3</v>
      </c>
      <c r="AQ55" s="38" t="s">
        <v>216</v>
      </c>
      <c r="AR55" s="38">
        <v>2030</v>
      </c>
      <c r="AS55" s="39" t="s">
        <v>210</v>
      </c>
      <c r="AT55" s="38" t="s">
        <v>166</v>
      </c>
      <c r="AU55" s="48" t="s">
        <v>196</v>
      </c>
      <c r="AV55" s="48" t="s">
        <v>94</v>
      </c>
      <c r="AW55" s="48">
        <v>0.32960197968936678</v>
      </c>
    </row>
    <row r="56" spans="2:49" x14ac:dyDescent="0.25">
      <c r="B56" t="s">
        <v>121</v>
      </c>
      <c r="C56" t="s">
        <v>93</v>
      </c>
      <c r="D56" t="s">
        <v>188</v>
      </c>
      <c r="E56" s="1" t="s">
        <v>189</v>
      </c>
      <c r="F56">
        <v>0</v>
      </c>
      <c r="G56">
        <v>0</v>
      </c>
      <c r="H56"/>
      <c r="I56"/>
      <c r="J56"/>
      <c r="K56"/>
      <c r="L56"/>
      <c r="AI56" s="38" t="s">
        <v>216</v>
      </c>
      <c r="AJ56" s="38">
        <v>2030</v>
      </c>
      <c r="AK56" s="39" t="s">
        <v>213</v>
      </c>
      <c r="AL56" s="38" t="s">
        <v>167</v>
      </c>
      <c r="AM56" s="48" t="s">
        <v>196</v>
      </c>
      <c r="AN56" s="48" t="s">
        <v>93</v>
      </c>
      <c r="AO56" s="48">
        <v>2.1363241345921055E-3</v>
      </c>
      <c r="AQ56" s="38" t="s">
        <v>216</v>
      </c>
      <c r="AR56" s="38">
        <v>2030</v>
      </c>
      <c r="AS56" s="39" t="s">
        <v>210</v>
      </c>
      <c r="AT56" s="38" t="s">
        <v>167</v>
      </c>
      <c r="AU56" s="48" t="s">
        <v>196</v>
      </c>
      <c r="AV56" s="48" t="s">
        <v>94</v>
      </c>
      <c r="AW56" s="48">
        <v>0.37592762246117079</v>
      </c>
    </row>
    <row r="57" spans="2:49" x14ac:dyDescent="0.25">
      <c r="B57" t="s">
        <v>121</v>
      </c>
      <c r="C57" t="s">
        <v>65</v>
      </c>
      <c r="D57" t="s">
        <v>188</v>
      </c>
      <c r="E57" s="1" t="s">
        <v>189</v>
      </c>
      <c r="F57">
        <v>0</v>
      </c>
      <c r="G57">
        <v>0</v>
      </c>
      <c r="H57"/>
      <c r="I57"/>
      <c r="J57"/>
      <c r="K57"/>
      <c r="L57"/>
      <c r="AI57" s="38" t="s">
        <v>216</v>
      </c>
      <c r="AJ57" s="38">
        <v>2030</v>
      </c>
      <c r="AK57" s="39" t="s">
        <v>213</v>
      </c>
      <c r="AL57" s="38" t="s">
        <v>168</v>
      </c>
      <c r="AM57" s="48" t="s">
        <v>196</v>
      </c>
      <c r="AN57" s="48" t="s">
        <v>93</v>
      </c>
      <c r="AO57" s="48">
        <v>1.8660639529435976E-3</v>
      </c>
      <c r="AQ57" s="38" t="s">
        <v>216</v>
      </c>
      <c r="AR57" s="38">
        <v>2030</v>
      </c>
      <c r="AS57" s="39" t="s">
        <v>210</v>
      </c>
      <c r="AT57" s="38" t="s">
        <v>168</v>
      </c>
      <c r="AU57" s="48" t="s">
        <v>196</v>
      </c>
      <c r="AV57" s="48" t="s">
        <v>94</v>
      </c>
      <c r="AW57" s="48">
        <v>0.38776096057347664</v>
      </c>
    </row>
    <row r="58" spans="2:49" x14ac:dyDescent="0.25">
      <c r="B58" t="s">
        <v>121</v>
      </c>
      <c r="C58" t="s">
        <v>187</v>
      </c>
      <c r="D58" t="s">
        <v>188</v>
      </c>
      <c r="E58" s="1" t="s">
        <v>189</v>
      </c>
      <c r="F58">
        <v>0</v>
      </c>
      <c r="G58">
        <v>0</v>
      </c>
      <c r="H58"/>
      <c r="I58"/>
      <c r="J58"/>
      <c r="K58"/>
      <c r="L58"/>
      <c r="AI58" s="38" t="s">
        <v>216</v>
      </c>
      <c r="AJ58" s="38">
        <v>2030</v>
      </c>
      <c r="AK58" s="39" t="s">
        <v>213</v>
      </c>
      <c r="AL58" s="38" t="s">
        <v>169</v>
      </c>
      <c r="AM58" s="48" t="s">
        <v>196</v>
      </c>
      <c r="AN58" s="48" t="s">
        <v>93</v>
      </c>
      <c r="AO58" s="48">
        <v>1.7487528282965712E-3</v>
      </c>
      <c r="AQ58" s="38" t="s">
        <v>216</v>
      </c>
      <c r="AR58" s="38">
        <v>2030</v>
      </c>
      <c r="AS58" s="39" t="s">
        <v>210</v>
      </c>
      <c r="AT58" s="38" t="s">
        <v>169</v>
      </c>
      <c r="AU58" s="48" t="s">
        <v>196</v>
      </c>
      <c r="AV58" s="48" t="s">
        <v>94</v>
      </c>
      <c r="AW58" s="48">
        <v>0.36426783751493425</v>
      </c>
    </row>
    <row r="59" spans="2:49" x14ac:dyDescent="0.25">
      <c r="B59" t="s">
        <v>121</v>
      </c>
      <c r="C59" t="s">
        <v>102</v>
      </c>
      <c r="D59" t="s">
        <v>188</v>
      </c>
      <c r="E59" s="1" t="s">
        <v>189</v>
      </c>
      <c r="F59">
        <v>0</v>
      </c>
      <c r="G59">
        <v>0</v>
      </c>
      <c r="H59"/>
      <c r="I59"/>
      <c r="J59"/>
      <c r="K59"/>
      <c r="L59"/>
      <c r="AI59" s="38" t="s">
        <v>216</v>
      </c>
      <c r="AJ59" s="38">
        <v>2030</v>
      </c>
      <c r="AK59" s="39" t="s">
        <v>213</v>
      </c>
      <c r="AL59" s="38" t="s">
        <v>170</v>
      </c>
      <c r="AM59" s="48" t="s">
        <v>196</v>
      </c>
      <c r="AN59" s="48" t="s">
        <v>93</v>
      </c>
      <c r="AO59" s="48">
        <v>1.6637860863902745E-3</v>
      </c>
      <c r="AQ59" s="38" t="s">
        <v>216</v>
      </c>
      <c r="AR59" s="38">
        <v>2030</v>
      </c>
      <c r="AS59" s="39" t="s">
        <v>210</v>
      </c>
      <c r="AT59" s="38" t="s">
        <v>170</v>
      </c>
      <c r="AU59" s="48" t="s">
        <v>196</v>
      </c>
      <c r="AV59" s="48" t="s">
        <v>94</v>
      </c>
      <c r="AW59" s="48">
        <v>0.31009156033452806</v>
      </c>
    </row>
    <row r="60" spans="2:49" x14ac:dyDescent="0.25">
      <c r="B60" t="s">
        <v>121</v>
      </c>
      <c r="C60" t="s">
        <v>105</v>
      </c>
      <c r="D60" t="s">
        <v>188</v>
      </c>
      <c r="E60" s="1" t="s">
        <v>189</v>
      </c>
      <c r="F60">
        <v>0</v>
      </c>
      <c r="G60">
        <v>0</v>
      </c>
      <c r="H60"/>
      <c r="I60"/>
      <c r="J60"/>
      <c r="K60"/>
      <c r="L60"/>
      <c r="AI60" s="38" t="s">
        <v>216</v>
      </c>
      <c r="AJ60" s="38">
        <v>2030</v>
      </c>
      <c r="AK60" s="39" t="s">
        <v>213</v>
      </c>
      <c r="AL60" s="38" t="s">
        <v>171</v>
      </c>
      <c r="AM60" s="48" t="s">
        <v>196</v>
      </c>
      <c r="AN60" s="48" t="s">
        <v>93</v>
      </c>
      <c r="AO60" s="48">
        <v>1.8211742012316831E-3</v>
      </c>
      <c r="AQ60" s="38" t="s">
        <v>216</v>
      </c>
      <c r="AR60" s="38">
        <v>2030</v>
      </c>
      <c r="AS60" s="39" t="s">
        <v>210</v>
      </c>
      <c r="AT60" s="38" t="s">
        <v>171</v>
      </c>
      <c r="AU60" s="48" t="s">
        <v>196</v>
      </c>
      <c r="AV60" s="48" t="s">
        <v>94</v>
      </c>
      <c r="AW60" s="48">
        <v>0.23188419952210276</v>
      </c>
    </row>
    <row r="61" spans="2:49" x14ac:dyDescent="0.25">
      <c r="B61" t="s">
        <v>121</v>
      </c>
      <c r="C61" t="s">
        <v>66</v>
      </c>
      <c r="D61" t="s">
        <v>188</v>
      </c>
      <c r="E61" s="1" t="s">
        <v>189</v>
      </c>
      <c r="F61">
        <v>0</v>
      </c>
      <c r="G61">
        <v>0</v>
      </c>
      <c r="H61"/>
      <c r="I61"/>
      <c r="J61"/>
      <c r="K61"/>
      <c r="L61"/>
      <c r="AI61" s="38" t="s">
        <v>216</v>
      </c>
      <c r="AJ61" s="38">
        <v>2030</v>
      </c>
      <c r="AK61" s="39" t="s">
        <v>213</v>
      </c>
      <c r="AL61" s="38" t="s">
        <v>172</v>
      </c>
      <c r="AM61" s="48" t="s">
        <v>196</v>
      </c>
      <c r="AN61" s="48" t="s">
        <v>93</v>
      </c>
      <c r="AO61" s="48">
        <v>1.9153018835258307E-3</v>
      </c>
      <c r="AQ61" s="38" t="s">
        <v>216</v>
      </c>
      <c r="AR61" s="38">
        <v>2030</v>
      </c>
      <c r="AS61" s="39" t="s">
        <v>210</v>
      </c>
      <c r="AT61" s="38" t="s">
        <v>172</v>
      </c>
      <c r="AU61" s="48" t="s">
        <v>196</v>
      </c>
      <c r="AV61" s="48" t="s">
        <v>94</v>
      </c>
      <c r="AW61" s="48">
        <v>0.13618056033452808</v>
      </c>
    </row>
    <row r="62" spans="2:49" x14ac:dyDescent="0.25">
      <c r="B62" t="s">
        <v>121</v>
      </c>
      <c r="C62" t="s">
        <v>103</v>
      </c>
      <c r="D62" t="s">
        <v>188</v>
      </c>
      <c r="E62" s="1" t="s">
        <v>189</v>
      </c>
      <c r="F62">
        <v>0</v>
      </c>
      <c r="G62">
        <v>0</v>
      </c>
      <c r="H62"/>
      <c r="I62"/>
      <c r="J62"/>
      <c r="K62"/>
      <c r="L62"/>
      <c r="AI62" s="38" t="s">
        <v>216</v>
      </c>
      <c r="AJ62" s="38">
        <v>2030</v>
      </c>
      <c r="AK62" s="39" t="s">
        <v>213</v>
      </c>
      <c r="AL62" s="38" t="s">
        <v>173</v>
      </c>
      <c r="AM62" s="48" t="s">
        <v>196</v>
      </c>
      <c r="AN62" s="48" t="s">
        <v>93</v>
      </c>
      <c r="AO62" s="48">
        <v>1.9744590518638132E-3</v>
      </c>
      <c r="AQ62" s="38" t="s">
        <v>216</v>
      </c>
      <c r="AR62" s="38">
        <v>2030</v>
      </c>
      <c r="AS62" s="39" t="s">
        <v>210</v>
      </c>
      <c r="AT62" s="38" t="s">
        <v>173</v>
      </c>
      <c r="AU62" s="48" t="s">
        <v>196</v>
      </c>
      <c r="AV62" s="48" t="s">
        <v>94</v>
      </c>
      <c r="AW62" s="48">
        <v>4.9357593787335743E-2</v>
      </c>
    </row>
    <row r="63" spans="2:49" x14ac:dyDescent="0.25">
      <c r="AI63" s="38" t="s">
        <v>216</v>
      </c>
      <c r="AJ63" s="38">
        <v>2030</v>
      </c>
      <c r="AK63" s="39" t="s">
        <v>213</v>
      </c>
      <c r="AL63" s="38" t="s">
        <v>174</v>
      </c>
      <c r="AM63" s="48" t="s">
        <v>196</v>
      </c>
      <c r="AN63" s="48" t="s">
        <v>93</v>
      </c>
      <c r="AO63" s="48">
        <v>2.1878436160058393E-3</v>
      </c>
      <c r="AQ63" s="38" t="s">
        <v>216</v>
      </c>
      <c r="AR63" s="38">
        <v>2030</v>
      </c>
      <c r="AS63" s="39" t="s">
        <v>210</v>
      </c>
      <c r="AT63" s="38" t="s">
        <v>174</v>
      </c>
      <c r="AU63" s="48" t="s">
        <v>196</v>
      </c>
      <c r="AV63" s="48" t="s">
        <v>94</v>
      </c>
      <c r="AW63" s="48">
        <v>7.5268817204301086E-6</v>
      </c>
    </row>
    <row r="64" spans="2:49" x14ac:dyDescent="0.25">
      <c r="AI64" s="38" t="s">
        <v>216</v>
      </c>
      <c r="AJ64" s="38">
        <v>2030</v>
      </c>
      <c r="AK64" s="39" t="s">
        <v>213</v>
      </c>
      <c r="AL64" s="38" t="s">
        <v>175</v>
      </c>
      <c r="AM64" s="48" t="s">
        <v>196</v>
      </c>
      <c r="AN64" s="48" t="s">
        <v>93</v>
      </c>
      <c r="AO64" s="48">
        <v>2.3889741533883327E-3</v>
      </c>
      <c r="AQ64" s="38" t="s">
        <v>216</v>
      </c>
      <c r="AR64" s="38">
        <v>2030</v>
      </c>
      <c r="AS64" s="39" t="s">
        <v>210</v>
      </c>
      <c r="AT64" s="38" t="s">
        <v>175</v>
      </c>
      <c r="AU64" s="48" t="s">
        <v>196</v>
      </c>
      <c r="AV64" s="48" t="s">
        <v>94</v>
      </c>
      <c r="AW64" s="48">
        <v>0</v>
      </c>
    </row>
    <row r="65" spans="35:49" x14ac:dyDescent="0.25">
      <c r="AI65" s="38" t="s">
        <v>216</v>
      </c>
      <c r="AJ65" s="38">
        <v>2030</v>
      </c>
      <c r="AK65" s="39" t="s">
        <v>213</v>
      </c>
      <c r="AL65" s="38" t="s">
        <v>176</v>
      </c>
      <c r="AM65" s="48" t="s">
        <v>196</v>
      </c>
      <c r="AN65" s="48" t="s">
        <v>93</v>
      </c>
      <c r="AO65" s="48">
        <v>2.4063426997311056E-3</v>
      </c>
      <c r="AQ65" s="38" t="s">
        <v>216</v>
      </c>
      <c r="AR65" s="38">
        <v>2030</v>
      </c>
      <c r="AS65" s="39" t="s">
        <v>210</v>
      </c>
      <c r="AT65" s="38" t="s">
        <v>176</v>
      </c>
      <c r="AU65" s="48" t="s">
        <v>196</v>
      </c>
      <c r="AV65" s="48" t="s">
        <v>94</v>
      </c>
      <c r="AW65" s="48">
        <v>0</v>
      </c>
    </row>
    <row r="66" spans="35:49" x14ac:dyDescent="0.25">
      <c r="AI66" s="38" t="s">
        <v>216</v>
      </c>
      <c r="AJ66" s="38">
        <v>2030</v>
      </c>
      <c r="AK66" s="39" t="s">
        <v>213</v>
      </c>
      <c r="AL66" s="38" t="s">
        <v>177</v>
      </c>
      <c r="AM66" s="48" t="s">
        <v>196</v>
      </c>
      <c r="AN66" s="48" t="s">
        <v>93</v>
      </c>
      <c r="AO66" s="48">
        <v>2.5925256698099051E-3</v>
      </c>
      <c r="AQ66" s="38" t="s">
        <v>216</v>
      </c>
      <c r="AR66" s="38">
        <v>2030</v>
      </c>
      <c r="AS66" s="39" t="s">
        <v>210</v>
      </c>
      <c r="AT66" s="38" t="s">
        <v>177</v>
      </c>
      <c r="AU66" s="48" t="s">
        <v>196</v>
      </c>
      <c r="AV66" s="48" t="s">
        <v>94</v>
      </c>
      <c r="AW66" s="48">
        <v>0</v>
      </c>
    </row>
    <row r="67" spans="35:49" x14ac:dyDescent="0.25">
      <c r="AI67" s="38" t="s">
        <v>216</v>
      </c>
      <c r="AJ67" s="38">
        <v>2030</v>
      </c>
      <c r="AK67" s="39" t="s">
        <v>213</v>
      </c>
      <c r="AL67" s="38" t="s">
        <v>178</v>
      </c>
      <c r="AM67" s="48" t="s">
        <v>196</v>
      </c>
      <c r="AN67" s="48" t="s">
        <v>93</v>
      </c>
      <c r="AO67" s="48">
        <v>2.9724559200622644E-3</v>
      </c>
      <c r="AQ67" s="38" t="s">
        <v>216</v>
      </c>
      <c r="AR67" s="38">
        <v>2030</v>
      </c>
      <c r="AS67" s="39" t="s">
        <v>210</v>
      </c>
      <c r="AT67" s="38" t="s">
        <v>178</v>
      </c>
      <c r="AU67" s="48" t="s">
        <v>196</v>
      </c>
      <c r="AV67" s="48" t="s">
        <v>94</v>
      </c>
      <c r="AW67" s="48">
        <v>0</v>
      </c>
    </row>
    <row r="68" spans="35:49" x14ac:dyDescent="0.25">
      <c r="AI68" s="38" t="s">
        <v>216</v>
      </c>
      <c r="AJ68" s="38">
        <v>2030</v>
      </c>
      <c r="AK68" s="39" t="s">
        <v>213</v>
      </c>
      <c r="AL68" s="38" t="s">
        <v>179</v>
      </c>
      <c r="AM68" s="48" t="s">
        <v>196</v>
      </c>
      <c r="AN68" s="48" t="s">
        <v>93</v>
      </c>
      <c r="AO68" s="48">
        <v>3.3823091606694387E-3</v>
      </c>
      <c r="AQ68" s="38" t="s">
        <v>216</v>
      </c>
      <c r="AR68" s="38">
        <v>2030</v>
      </c>
      <c r="AS68" s="39" t="s">
        <v>210</v>
      </c>
      <c r="AT68" s="38" t="s">
        <v>179</v>
      </c>
      <c r="AU68" s="48" t="s">
        <v>196</v>
      </c>
      <c r="AV68" s="48" t="s">
        <v>94</v>
      </c>
      <c r="AW68" s="48">
        <v>0</v>
      </c>
    </row>
    <row r="69" spans="35:49" x14ac:dyDescent="0.25">
      <c r="AI69" s="38"/>
      <c r="AJ69" s="38"/>
      <c r="AK69" s="53"/>
    </row>
    <row r="70" spans="35:49" x14ac:dyDescent="0.25">
      <c r="AI70" s="38"/>
      <c r="AJ70" s="38"/>
      <c r="AK70" s="53"/>
    </row>
    <row r="71" spans="35:49" x14ac:dyDescent="0.25">
      <c r="AI71" s="38"/>
      <c r="AJ71" s="38"/>
      <c r="AK71" s="53"/>
    </row>
    <row r="72" spans="35:49" x14ac:dyDescent="0.25">
      <c r="AI72" s="38"/>
      <c r="AJ72" s="38"/>
      <c r="AK72" s="53"/>
    </row>
    <row r="73" spans="35:49" x14ac:dyDescent="0.25">
      <c r="AI73" s="38"/>
      <c r="AJ73" s="38"/>
      <c r="AK73" s="53"/>
    </row>
    <row r="74" spans="35:49" x14ac:dyDescent="0.25">
      <c r="AI74" s="38"/>
      <c r="AJ74" s="38"/>
      <c r="AK74" s="53"/>
    </row>
    <row r="75" spans="35:49" x14ac:dyDescent="0.25">
      <c r="AI75" s="38"/>
      <c r="AJ75" s="38"/>
      <c r="AK75" s="53"/>
    </row>
    <row r="76" spans="35:49" x14ac:dyDescent="0.25">
      <c r="AI76" s="38"/>
      <c r="AJ76" s="38"/>
      <c r="AK76" s="53"/>
    </row>
    <row r="77" spans="35:49" x14ac:dyDescent="0.25">
      <c r="AI77" s="38"/>
      <c r="AJ77" s="38"/>
      <c r="AK77" s="53"/>
    </row>
    <row r="78" spans="35:49" x14ac:dyDescent="0.25">
      <c r="AI78" s="38"/>
      <c r="AJ78" s="38"/>
      <c r="AK78" s="53"/>
    </row>
    <row r="79" spans="35:49" x14ac:dyDescent="0.25">
      <c r="AI79" s="38"/>
      <c r="AJ79" s="38"/>
      <c r="AK79" s="53"/>
    </row>
    <row r="80" spans="35:49" x14ac:dyDescent="0.25">
      <c r="AI80" s="38"/>
      <c r="AJ80" s="38"/>
      <c r="AK80" s="53"/>
    </row>
    <row r="81" spans="35:37" x14ac:dyDescent="0.25">
      <c r="AI81" s="38"/>
      <c r="AJ81" s="38"/>
      <c r="AK81" s="53"/>
    </row>
    <row r="82" spans="35:37" x14ac:dyDescent="0.25">
      <c r="AI82" s="38"/>
      <c r="AJ82" s="38"/>
      <c r="AK82" s="53"/>
    </row>
    <row r="83" spans="35:37" x14ac:dyDescent="0.25">
      <c r="AI83" s="38"/>
      <c r="AJ83" s="38"/>
      <c r="AK83" s="53"/>
    </row>
    <row r="84" spans="35:37" x14ac:dyDescent="0.25">
      <c r="AI84" s="38"/>
      <c r="AJ84" s="38"/>
      <c r="AK84" s="53"/>
    </row>
    <row r="85" spans="35:37" x14ac:dyDescent="0.25">
      <c r="AI85" s="38"/>
      <c r="AJ85" s="38"/>
      <c r="AK85" s="53"/>
    </row>
    <row r="86" spans="35:37" x14ac:dyDescent="0.25">
      <c r="AI86" s="38"/>
      <c r="AJ86" s="38"/>
      <c r="AK86" s="53"/>
    </row>
    <row r="87" spans="35:37" x14ac:dyDescent="0.25">
      <c r="AI87" s="38"/>
      <c r="AJ87" s="38"/>
      <c r="AK87" s="53"/>
    </row>
    <row r="88" spans="35:37" x14ac:dyDescent="0.25">
      <c r="AI88" s="38"/>
      <c r="AJ88" s="38"/>
      <c r="AK88" s="53"/>
    </row>
    <row r="89" spans="35:37" x14ac:dyDescent="0.25">
      <c r="AI89" s="38"/>
      <c r="AJ89" s="38"/>
      <c r="AK89" s="53"/>
    </row>
    <row r="90" spans="35:37" x14ac:dyDescent="0.25">
      <c r="AI90" s="38"/>
      <c r="AJ90" s="38"/>
      <c r="AK90" s="53"/>
    </row>
    <row r="91" spans="35:37" x14ac:dyDescent="0.25">
      <c r="AI91" s="38"/>
      <c r="AJ91" s="38"/>
      <c r="AK91" s="53"/>
    </row>
    <row r="92" spans="35:37" x14ac:dyDescent="0.25">
      <c r="AI92" s="38"/>
      <c r="AJ92" s="38"/>
      <c r="AK92" s="53"/>
    </row>
    <row r="93" spans="35:37" x14ac:dyDescent="0.25">
      <c r="AI93" s="38"/>
      <c r="AJ93" s="38"/>
      <c r="AK93" s="53"/>
    </row>
    <row r="94" spans="35:37" x14ac:dyDescent="0.25">
      <c r="AI94" s="38"/>
      <c r="AJ94" s="38"/>
      <c r="AK94" s="53"/>
    </row>
    <row r="95" spans="35:37" x14ac:dyDescent="0.25">
      <c r="AI95" s="38"/>
      <c r="AJ95" s="38"/>
      <c r="AK95" s="53"/>
    </row>
    <row r="96" spans="35:37" x14ac:dyDescent="0.25">
      <c r="AI96" s="38"/>
      <c r="AJ96" s="38"/>
      <c r="AK96" s="53"/>
    </row>
    <row r="97" spans="35:37" x14ac:dyDescent="0.25">
      <c r="AI97" s="38"/>
      <c r="AJ97" s="38"/>
      <c r="AK97" s="53"/>
    </row>
    <row r="98" spans="35:37" x14ac:dyDescent="0.25">
      <c r="AI98" s="38"/>
      <c r="AJ98" s="38"/>
      <c r="AK98" s="53"/>
    </row>
    <row r="99" spans="35:37" x14ac:dyDescent="0.25">
      <c r="AI99" s="38"/>
      <c r="AJ99" s="38"/>
      <c r="AK99" s="53"/>
    </row>
    <row r="100" spans="35:37" x14ac:dyDescent="0.25">
      <c r="AI100" s="38"/>
      <c r="AJ100" s="38"/>
      <c r="AK100" s="53"/>
    </row>
    <row r="101" spans="35:37" x14ac:dyDescent="0.25">
      <c r="AI101" s="38"/>
      <c r="AJ101" s="38"/>
      <c r="AK101" s="53"/>
    </row>
    <row r="102" spans="35:37" x14ac:dyDescent="0.25">
      <c r="AI102" s="38"/>
      <c r="AJ102" s="38"/>
      <c r="AK102" s="53"/>
    </row>
    <row r="103" spans="35:37" x14ac:dyDescent="0.25">
      <c r="AI103" s="38"/>
      <c r="AJ103" s="38"/>
      <c r="AK103" s="53"/>
    </row>
    <row r="104" spans="35:37" x14ac:dyDescent="0.25">
      <c r="AI104" s="38"/>
      <c r="AJ104" s="38"/>
      <c r="AK104" s="53"/>
    </row>
    <row r="105" spans="35:37" x14ac:dyDescent="0.25">
      <c r="AI105" s="38"/>
      <c r="AJ105" s="38"/>
      <c r="AK105" s="53"/>
    </row>
    <row r="106" spans="35:37" x14ac:dyDescent="0.25">
      <c r="AI106" s="38"/>
      <c r="AJ106" s="38"/>
      <c r="AK106" s="53"/>
    </row>
    <row r="107" spans="35:37" x14ac:dyDescent="0.25">
      <c r="AI107" s="38"/>
      <c r="AJ107" s="38"/>
      <c r="AK107" s="53"/>
    </row>
    <row r="108" spans="35:37" x14ac:dyDescent="0.25">
      <c r="AI108" s="38"/>
      <c r="AJ108" s="38"/>
      <c r="AK108" s="53"/>
    </row>
    <row r="109" spans="35:37" x14ac:dyDescent="0.25">
      <c r="AI109" s="38"/>
      <c r="AJ109" s="38"/>
      <c r="AK109" s="53"/>
    </row>
    <row r="110" spans="35:37" x14ac:dyDescent="0.25">
      <c r="AI110" s="38"/>
      <c r="AJ110" s="38"/>
      <c r="AK110" s="53"/>
    </row>
    <row r="111" spans="35:37" x14ac:dyDescent="0.25">
      <c r="AI111" s="38"/>
      <c r="AJ111" s="38"/>
      <c r="AK111" s="53"/>
    </row>
    <row r="112" spans="35:37" x14ac:dyDescent="0.25">
      <c r="AI112" s="38"/>
      <c r="AJ112" s="38"/>
      <c r="AK112" s="53"/>
    </row>
    <row r="113" spans="35:37" x14ac:dyDescent="0.25">
      <c r="AI113" s="38"/>
      <c r="AJ113" s="38"/>
      <c r="AK113" s="53"/>
    </row>
    <row r="114" spans="35:37" x14ac:dyDescent="0.25">
      <c r="AI114" s="38"/>
      <c r="AJ114" s="38"/>
      <c r="AK114" s="53"/>
    </row>
    <row r="115" spans="35:37" x14ac:dyDescent="0.25">
      <c r="AI115" s="38"/>
      <c r="AJ115" s="38"/>
      <c r="AK115" s="53"/>
    </row>
    <row r="116" spans="35:37" x14ac:dyDescent="0.25">
      <c r="AI116" s="38"/>
      <c r="AJ116" s="38"/>
      <c r="AK116" s="53"/>
    </row>
    <row r="117" spans="35:37" x14ac:dyDescent="0.25">
      <c r="AI117" s="38"/>
      <c r="AJ117" s="38"/>
      <c r="AK117" s="53"/>
    </row>
    <row r="118" spans="35:37" x14ac:dyDescent="0.25">
      <c r="AI118" s="38"/>
      <c r="AJ118" s="38"/>
      <c r="AK118" s="53"/>
    </row>
    <row r="119" spans="35:37" x14ac:dyDescent="0.25">
      <c r="AI119" s="38"/>
      <c r="AJ119" s="38"/>
      <c r="AK119" s="53"/>
    </row>
    <row r="120" spans="35:37" x14ac:dyDescent="0.25">
      <c r="AI120" s="38"/>
      <c r="AJ120" s="38"/>
      <c r="AK120" s="53"/>
    </row>
    <row r="121" spans="35:37" x14ac:dyDescent="0.25">
      <c r="AI121" s="38"/>
      <c r="AJ121" s="38"/>
      <c r="AK121" s="53"/>
    </row>
    <row r="122" spans="35:37" x14ac:dyDescent="0.25">
      <c r="AI122" s="38"/>
      <c r="AJ122" s="38"/>
      <c r="AK122" s="53"/>
    </row>
    <row r="123" spans="35:37" x14ac:dyDescent="0.25">
      <c r="AI123" s="38"/>
      <c r="AJ123" s="38"/>
      <c r="AK123" s="53"/>
    </row>
    <row r="124" spans="35:37" x14ac:dyDescent="0.25">
      <c r="AI124" s="38"/>
      <c r="AJ124" s="38"/>
      <c r="AK124" s="53"/>
    </row>
    <row r="125" spans="35:37" x14ac:dyDescent="0.25">
      <c r="AI125" s="38"/>
      <c r="AJ125" s="38"/>
      <c r="AK125" s="53"/>
    </row>
    <row r="126" spans="35:37" x14ac:dyDescent="0.25">
      <c r="AI126" s="38"/>
      <c r="AJ126" s="38"/>
      <c r="AK126" s="53"/>
    </row>
    <row r="127" spans="35:37" x14ac:dyDescent="0.25">
      <c r="AI127" s="38"/>
      <c r="AJ127" s="38"/>
      <c r="AK127" s="53"/>
    </row>
    <row r="128" spans="35:37" x14ac:dyDescent="0.25">
      <c r="AI128" s="38"/>
      <c r="AJ128" s="38"/>
      <c r="AK128" s="53"/>
    </row>
    <row r="129" spans="35:37" x14ac:dyDescent="0.25">
      <c r="AI129" s="38"/>
      <c r="AJ129" s="38"/>
      <c r="AK129" s="53"/>
    </row>
    <row r="130" spans="35:37" x14ac:dyDescent="0.25">
      <c r="AI130" s="38"/>
      <c r="AJ130" s="38"/>
      <c r="AK130" s="53"/>
    </row>
    <row r="131" spans="35:37" x14ac:dyDescent="0.25">
      <c r="AI131" s="38"/>
      <c r="AJ131" s="38"/>
      <c r="AK131" s="53"/>
    </row>
    <row r="132" spans="35:37" x14ac:dyDescent="0.25">
      <c r="AI132" s="38"/>
      <c r="AJ132" s="38"/>
      <c r="AK132" s="53"/>
    </row>
    <row r="133" spans="35:37" x14ac:dyDescent="0.25">
      <c r="AI133" s="38"/>
      <c r="AJ133" s="38"/>
      <c r="AK133" s="53"/>
    </row>
    <row r="134" spans="35:37" x14ac:dyDescent="0.25">
      <c r="AI134" s="38"/>
      <c r="AJ134" s="38"/>
      <c r="AK134" s="53"/>
    </row>
    <row r="135" spans="35:37" x14ac:dyDescent="0.25">
      <c r="AI135" s="38"/>
      <c r="AJ135" s="38"/>
      <c r="AK135" s="53"/>
    </row>
    <row r="136" spans="35:37" x14ac:dyDescent="0.25">
      <c r="AI136" s="38"/>
      <c r="AJ136" s="38"/>
      <c r="AK136" s="53"/>
    </row>
    <row r="137" spans="35:37" x14ac:dyDescent="0.25">
      <c r="AI137" s="38"/>
      <c r="AJ137" s="38"/>
      <c r="AK137" s="53"/>
    </row>
    <row r="138" spans="35:37" x14ac:dyDescent="0.25">
      <c r="AI138" s="38"/>
      <c r="AJ138" s="38"/>
      <c r="AK138" s="53"/>
    </row>
    <row r="139" spans="35:37" x14ac:dyDescent="0.25">
      <c r="AI139" s="38"/>
      <c r="AJ139" s="38"/>
      <c r="AK139" s="53"/>
    </row>
    <row r="140" spans="35:37" x14ac:dyDescent="0.25">
      <c r="AI140" s="38"/>
      <c r="AJ140" s="38"/>
      <c r="AK140" s="53"/>
    </row>
    <row r="141" spans="35:37" x14ac:dyDescent="0.25">
      <c r="AI141" s="38"/>
      <c r="AJ141" s="38"/>
      <c r="AK141" s="53"/>
    </row>
    <row r="142" spans="35:37" x14ac:dyDescent="0.25">
      <c r="AI142" s="38"/>
      <c r="AJ142" s="38"/>
      <c r="AK142" s="53"/>
    </row>
    <row r="143" spans="35:37" x14ac:dyDescent="0.25">
      <c r="AI143" s="38"/>
      <c r="AJ143" s="38"/>
      <c r="AK143" s="53"/>
    </row>
    <row r="144" spans="35:37" x14ac:dyDescent="0.25">
      <c r="AI144" s="38"/>
      <c r="AJ144" s="38"/>
      <c r="AK144" s="53"/>
    </row>
  </sheetData>
  <phoneticPr fontId="25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2026-01-22T13:43:06Z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