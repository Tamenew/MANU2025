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FEB7D09E-5D30-4EA3-BB96-09A9BD70BFC5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7" l="1"/>
  <c r="B37" i="7"/>
  <c r="B36" i="7"/>
  <c r="C36" i="7"/>
  <c r="B35" i="7"/>
  <c r="C34" i="7"/>
  <c r="C33" i="7"/>
  <c r="C32" i="7"/>
  <c r="D28" i="6"/>
  <c r="D29" i="6"/>
  <c r="B28" i="6"/>
  <c r="B29" i="6"/>
  <c r="C44" i="7"/>
  <c r="C43" i="7"/>
  <c r="C42" i="7"/>
  <c r="B45" i="7"/>
  <c r="B44" i="7"/>
  <c r="B43" i="7"/>
  <c r="B42" i="7"/>
  <c r="C31" i="7"/>
  <c r="B27" i="6"/>
  <c r="B34" i="7"/>
  <c r="B33" i="7"/>
  <c r="B32" i="7"/>
  <c r="B31" i="7"/>
  <c r="D27" i="6"/>
  <c r="D26" i="6"/>
  <c r="B29" i="7"/>
  <c r="B30" i="7"/>
  <c r="B28" i="7"/>
  <c r="C30" i="7"/>
  <c r="C28" i="7"/>
  <c r="B27" i="7"/>
  <c r="Q27" i="6"/>
  <c r="F58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24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24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24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25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<sst xmlns="http://schemas.openxmlformats.org/spreadsheetml/2006/main" count="342" uniqueCount="155">
  <si>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</si>
  <si>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</si>
  <si>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</si>
  <si>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</si>
  <si>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</si>
  <si>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</si>
  <si>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</si>
  <si>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</si>
  <si>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</si>
  <si>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</si>
  <si>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</si>
  <si>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</si>
  <si>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</si>
  <si>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</si>
  <si>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</si>
  <si>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</si>
  <si>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</si>
  <si>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</si>
  <si>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</si>
  <si>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</si>
  <si>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</si>
  <si>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</si>
  <si>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</si>
  <si>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</si>
  <si>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</si>
  <si>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</si>
  <si>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</si>
  <si>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</si>
  <si>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</si>
  <si>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</si>
  <si>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</si>
  <si>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</si>
  <si>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</si>
  <si>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</si>
  <si>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</si>
  <si>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</si>
  <si>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</si>
  <si>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</si>
  <si>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</si>
  <si>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</si>
  <si>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</si>
  <si>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</si>
  <si>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</si>
  <si>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</si>
  <si>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</si>
  <si>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</si>
  <si>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</si>
  <si>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</si>
  <si>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</si>
  <si>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</si>
  <si>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</si>
  <si>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</si>
  <si>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</si>
  <si>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</si>
  <si>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</si>
  <si>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</si>
  <si>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</si>
  <si>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</si>
  <si>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</si>
  <si>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</si>
  <si>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</si>
  <si>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</si>
  <si>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</si>
  <si>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</si>
  <si>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</si>
  <si>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</si>
  <si>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</si>
  <si>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</si>
  <si>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</si>
  <si>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</si>
  <si>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</si>
  <si>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</si>
  <si>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</si>
  <si>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</si>
  <si>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</si>
  <si>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</si>
  <si>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</si>
  <si>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</si>
  <si>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</si>
  <si>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</si>
  <si>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</si>
  <si>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</si>
  <si>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</si>
  <si>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</si>
  <si>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</si>
  <si>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</si>
  <si>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</si>
  <si>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</si>
  <si>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</si>
  <si>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</si>
  <si>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</si>
  <si>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</si>
  <si>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</si>
  <si>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</si>
  <si>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</si>
  <si>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</si>
  <si>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</si>
  <si>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</si>
  <si>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</si>
  <si>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</si>
  <si>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</si>
  <si>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</si>
  <si>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</si>
  <si>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</si>
  <si>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</si>
  <si>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</si>
  <si>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Manufacturing heat from Solar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</si>
  <si>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</si>
  <si>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</si>
  <si>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</si>
  <si>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</si>
  <si>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</si>
  <si>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</si>
  <si>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</si>
  <si>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</si>
  <si>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</si>
  <si>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</si>
  <si>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</si>
  <si>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</si>
  <si>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</si>
  <si>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</si>
  <si>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</si>
  <si>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</si>
  <si>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</si>
  <si>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</si>
  <si>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</si>
  <si>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</si>
  <si>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</si>
  <si>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</si>
  <si>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</si>
  <si>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</si>
  <si>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</si>
  <si>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</si>
  <si>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</si>
  <si>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</si>
  <si>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</si>
  <si>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</si>
  <si>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</si>
  <si>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</si>
  <si>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</si>
  <si>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</si>
  <si>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</si>
  <si>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</si>
  <si>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</si>
  <si>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</si>
  <si>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</si>
  <si>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Manufacturing heat supplier using electricity</t>
  </si>
  <si>
    <t>DMD</t>
  </si>
  <si>
    <t>RNWELC</t>
  </si>
  <si>
    <t>Electricity from solar or Wind</t>
  </si>
  <si>
    <t>MANELC</t>
  </si>
  <si>
    <t>DECELC</t>
  </si>
  <si>
    <t>Decenteralized electricity for non_process heat</t>
  </si>
  <si>
    <t>Electric boiler</t>
  </si>
  <si>
    <t>Biomass kiln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</si>
</sst>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15" fillId="3" borderId="0" xfId="20" applyNumberFormat="1" applyFont="1" applyBorder="1" applyAlignment="1">
      <alignment horizontal="left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55</xdr:row>
      <xdr:rowOff>65943</xdr:rowOff>
    </xdr:from>
    <xdr:to>
      <xdr:col>24</xdr:col>
      <xdr:colOff>3771674</xdr:colOff>
      <xdr:row>60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J19" zoomScale="142" zoomScaleNormal="142" workbookViewId="0">
      <selection activeCell="H31" sqref="H31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121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121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121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121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137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138</v>
      </c>
      <c r="Q8" s="37" t="s">
        <v>139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121</v>
      </c>
      <c r="J25" s="20" t="s">
        <v>58</v>
      </c>
      <c r="K25" s="21"/>
      <c r="N25" s="13" t="s">
        <v>81</v>
      </c>
      <c r="O25" s="22" t="s">
        <v>111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109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110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N28" s="38" t="s">
        <v>64</v>
      </c>
      <c r="P28" s="1" t="s">
        <v>140</v>
      </c>
      <c r="Q28" s="1" t="s">
        <v>143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N29" s="38" t="s">
        <v>64</v>
      </c>
      <c r="O29" s="14"/>
      <c r="P29" s="14" t="s">
        <v>141</v>
      </c>
      <c r="Q29" s="14" t="s">
        <v>142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6"/>
  <sheetViews>
    <sheetView tabSelected="1" topLeftCell="A17" zoomScale="118" zoomScaleNormal="118" workbookViewId="0">
      <selection activeCell="C38" sqref="C38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122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79" t="s">
        <v>69</v>
      </c>
      <c r="W5" s="79"/>
      <c r="X5" s="79" t="s">
        <v>148</v>
      </c>
      <c r="Y5" s="79" t="s">
        <v>149</v>
      </c>
      <c r="Z5" s="79" t="s">
        <v>58</v>
      </c>
      <c r="AA5" s="79"/>
      <c r="AB5" s="79" t="s">
        <v>88</v>
      </c>
      <c r="AC5" s="79"/>
      <c r="AD5" s="88"/>
    </row>
    <row r="6" spans="2:31" ht="15.6" x14ac:dyDescent="0.3">
      <c r="B6" s="54"/>
      <c r="C6" s="54"/>
      <c r="D6" s="54"/>
      <c r="E6" s="54"/>
      <c r="F6" s="54"/>
      <c r="G6" s="54"/>
    </row>
    <row r="7" spans="2:31" ht="15.6" x14ac:dyDescent="0.3">
      <c r="B7" s="54"/>
      <c r="C7" s="54"/>
      <c r="D7" s="54"/>
      <c r="E7" s="54"/>
      <c r="F7" s="54"/>
      <c r="G7" s="54"/>
    </row>
    <row r="8" spans="2:31" ht="15.6" x14ac:dyDescent="0.3">
      <c r="B8" s="54"/>
      <c r="C8" s="54"/>
      <c r="D8" s="54"/>
      <c r="E8" s="54"/>
      <c r="F8" s="54"/>
      <c r="G8" s="54"/>
    </row>
    <row r="9" spans="2:31" ht="15.6" x14ac:dyDescent="0.3">
      <c r="B9" s="54"/>
      <c r="C9" s="54"/>
      <c r="D9" s="54"/>
      <c r="E9" s="54"/>
      <c r="F9" s="54"/>
      <c r="G9" s="54"/>
    </row>
    <row r="10" spans="2:31" ht="15.6" x14ac:dyDescent="0.3">
      <c r="B10" s="54"/>
      <c r="C10" s="54"/>
      <c r="D10" s="54"/>
      <c r="E10" s="54"/>
      <c r="F10" s="54"/>
      <c r="G10" s="54"/>
    </row>
    <row r="11" spans="2:31" ht="15.6" x14ac:dyDescent="0.3">
      <c r="B11" s="54"/>
      <c r="C11" s="54"/>
      <c r="D11" s="54"/>
      <c r="E11" s="54"/>
      <c r="F11" s="54"/>
      <c r="G11" s="54"/>
    </row>
    <row r="12" spans="2:31" ht="15.6" x14ac:dyDescent="0.3">
      <c r="B12" s="54"/>
      <c r="C12" s="54"/>
      <c r="D12" s="54"/>
      <c r="E12" s="54"/>
      <c r="F12" s="54"/>
      <c r="G12" s="54"/>
      <c r="V12" s="42"/>
      <c r="W12" s="42"/>
      <c r="X12" s="42"/>
      <c r="Y12" s="42"/>
      <c r="Z12" s="42"/>
      <c r="AA12" s="41"/>
      <c r="AB12" s="64"/>
      <c r="AC12" s="41"/>
      <c r="AD12" s="41"/>
      <c r="AE12" s="47"/>
    </row>
    <row r="13" spans="2:31" ht="15.6" x14ac:dyDescent="0.3">
      <c r="B13" s="54"/>
      <c r="C13" s="54"/>
      <c r="D13" s="54"/>
      <c r="E13" s="54"/>
      <c r="F13" s="54"/>
      <c r="G13" s="54"/>
      <c r="V13" s="42"/>
      <c r="W13" s="42"/>
      <c r="X13" s="42"/>
      <c r="Y13" s="42"/>
      <c r="Z13" s="42"/>
      <c r="AA13" s="55"/>
      <c r="AB13" s="64"/>
      <c r="AC13" s="55"/>
      <c r="AD13" s="55"/>
      <c r="AE13" s="47"/>
    </row>
    <row r="14" spans="2:31" ht="15.6" x14ac:dyDescent="0.3">
      <c r="B14" s="54"/>
      <c r="C14" s="54"/>
      <c r="D14" s="54"/>
      <c r="E14" s="54"/>
      <c r="F14" s="54"/>
      <c r="G14" s="54"/>
      <c r="V14" s="43"/>
      <c r="W14" s="43"/>
      <c r="X14" s="43"/>
      <c r="Y14" s="43"/>
      <c r="Z14" s="43"/>
      <c r="AA14" s="55"/>
      <c r="AB14" s="64"/>
      <c r="AC14" s="55"/>
      <c r="AD14" s="55"/>
      <c r="AE14" s="47"/>
    </row>
    <row r="15" spans="2:31" s="79" customFormat="1" ht="15.6" x14ac:dyDescent="0.3">
      <c r="B15" s="78"/>
      <c r="C15" s="78"/>
      <c r="D15" s="78"/>
      <c r="E15" s="78"/>
      <c r="F15" s="78"/>
      <c r="G15" s="78"/>
      <c r="T15" s="80"/>
      <c r="U15" s="80"/>
      <c r="AE15" s="80"/>
    </row>
    <row r="16" spans="2:31" s="79" customFormat="1" ht="15.6" x14ac:dyDescent="0.3">
      <c r="B16" s="78"/>
      <c r="C16" s="78"/>
      <c r="D16" s="78"/>
      <c r="E16" s="78"/>
      <c r="F16" s="78"/>
      <c r="G16" s="78"/>
      <c r="T16" s="80"/>
      <c r="U16" s="80"/>
      <c r="AE16" s="80"/>
    </row>
    <row r="17" spans="2:51" ht="15.6" x14ac:dyDescent="0.3">
      <c r="B17" s="54"/>
      <c r="C17" s="54"/>
      <c r="D17" s="54"/>
      <c r="E17" s="54"/>
      <c r="F17" s="54"/>
      <c r="G17" s="54"/>
      <c r="AE17" s="47"/>
    </row>
    <row r="18" spans="2:51" x14ac:dyDescent="0.25">
      <c r="AE18" s="47"/>
    </row>
    <row r="20" spans="2:51" x14ac:dyDescent="0.25">
      <c r="V20" s="51"/>
      <c r="W20" s="51"/>
      <c r="X20" s="51"/>
      <c r="Y20" s="51"/>
      <c r="Z20" s="51"/>
      <c r="AA20" s="51"/>
      <c r="AB20" s="51"/>
      <c r="AC20" s="51"/>
      <c r="AD20" s="51"/>
    </row>
    <row r="21" spans="2:51" x14ac:dyDescent="0.25">
      <c r="V21" s="51"/>
      <c r="W21" s="51"/>
      <c r="X21" s="51"/>
      <c r="Y21" s="51"/>
      <c r="Z21" s="51"/>
      <c r="AA21" s="51"/>
      <c r="AB21" s="51"/>
      <c r="AC21" s="51"/>
      <c r="AD21" s="51"/>
    </row>
    <row r="23" spans="2:51" x14ac:dyDescent="0.25">
      <c r="D23" s="56" t="s">
        <v>0</v>
      </c>
      <c r="E23" s="56"/>
      <c r="F23" s="56"/>
      <c r="H23" s="56"/>
      <c r="V23" s="50" t="s">
        <v>17</v>
      </c>
      <c r="W23" s="50"/>
      <c r="X23" s="51"/>
      <c r="Y23" s="51"/>
      <c r="Z23" s="51"/>
      <c r="AA23" s="51"/>
      <c r="AB23" s="51"/>
      <c r="AC23" s="51"/>
      <c r="AD23" s="51"/>
      <c r="AI23"/>
      <c r="AJ23" s="3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</row>
    <row r="24" spans="2:51" ht="24" customHeight="1" x14ac:dyDescent="0.25">
      <c r="B24" s="57" t="s">
        <v>1</v>
      </c>
      <c r="C24" s="57" t="s">
        <v>3</v>
      </c>
      <c r="D24" s="57" t="s">
        <v>4</v>
      </c>
      <c r="E24" s="58" t="s">
        <v>131</v>
      </c>
      <c r="F24" s="58" t="s">
        <v>16</v>
      </c>
      <c r="G24" s="58" t="s">
        <v>34</v>
      </c>
      <c r="H24" s="58" t="s">
        <v>47</v>
      </c>
      <c r="I24" s="58" t="s">
        <v>36</v>
      </c>
      <c r="J24" s="60" t="s">
        <v>5</v>
      </c>
      <c r="K24" s="60" t="s">
        <v>107</v>
      </c>
      <c r="L24" s="58" t="s">
        <v>56</v>
      </c>
      <c r="M24" s="60" t="s">
        <v>112</v>
      </c>
      <c r="N24" s="59" t="s">
        <v>124</v>
      </c>
      <c r="O24" s="60" t="s">
        <v>133</v>
      </c>
      <c r="P24" s="60" t="s">
        <v>134</v>
      </c>
      <c r="Q24" s="60" t="s">
        <v>135</v>
      </c>
      <c r="R24" s="60" t="s">
        <v>136</v>
      </c>
      <c r="S24" s="60" t="s">
        <v>144</v>
      </c>
      <c r="V24" s="52" t="s">
        <v>15</v>
      </c>
      <c r="W24" s="53" t="s">
        <v>42</v>
      </c>
      <c r="X24" s="52" t="s">
        <v>1</v>
      </c>
      <c r="Y24" s="52" t="s">
        <v>2</v>
      </c>
      <c r="Z24" s="52" t="s">
        <v>18</v>
      </c>
      <c r="AA24" s="52" t="s">
        <v>19</v>
      </c>
      <c r="AB24" s="52" t="s">
        <v>20</v>
      </c>
      <c r="AC24" s="52" t="s">
        <v>21</v>
      </c>
      <c r="AD24" s="52" t="s">
        <v>22</v>
      </c>
      <c r="AI24"/>
      <c r="AJ24" s="3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Y24" s="47"/>
    </row>
    <row r="25" spans="2:51" ht="31.8" thickBot="1" x14ac:dyDescent="0.3">
      <c r="B25" s="32" t="s">
        <v>48</v>
      </c>
      <c r="C25" s="32" t="s">
        <v>32</v>
      </c>
      <c r="D25" s="32" t="s">
        <v>33</v>
      </c>
      <c r="E25" s="32" t="s">
        <v>54</v>
      </c>
      <c r="F25" s="32" t="s">
        <v>35</v>
      </c>
      <c r="G25" s="33" t="s">
        <v>49</v>
      </c>
      <c r="H25" s="32" t="s">
        <v>57</v>
      </c>
      <c r="I25" s="32" t="s">
        <v>86</v>
      </c>
      <c r="J25" s="33" t="s">
        <v>37</v>
      </c>
      <c r="K25" s="33" t="s">
        <v>108</v>
      </c>
      <c r="L25" s="33" t="s">
        <v>80</v>
      </c>
      <c r="M25" s="33" t="s">
        <v>113</v>
      </c>
      <c r="N25" s="32" t="s">
        <v>85</v>
      </c>
      <c r="O25" s="33" t="s">
        <v>132</v>
      </c>
      <c r="P25" s="33" t="s">
        <v>132</v>
      </c>
      <c r="Q25" s="33" t="s">
        <v>132</v>
      </c>
      <c r="R25" s="76" t="s">
        <v>132</v>
      </c>
      <c r="S25" s="76" t="s">
        <v>145</v>
      </c>
      <c r="V25" s="31" t="s">
        <v>50</v>
      </c>
      <c r="W25" s="31" t="s">
        <v>44</v>
      </c>
      <c r="X25" s="31" t="s">
        <v>27</v>
      </c>
      <c r="Y25" s="31" t="s">
        <v>28</v>
      </c>
      <c r="Z25" s="31" t="s">
        <v>29</v>
      </c>
      <c r="AA25" s="31" t="s">
        <v>30</v>
      </c>
      <c r="AB25" s="31" t="s">
        <v>51</v>
      </c>
      <c r="AC25" s="31" t="s">
        <v>52</v>
      </c>
      <c r="AD25" s="31" t="s">
        <v>31</v>
      </c>
      <c r="AI25"/>
      <c r="AJ25" s="39"/>
      <c r="AY25" s="47"/>
    </row>
    <row r="26" spans="2:51" ht="33.75" customHeight="1" thickBot="1" x14ac:dyDescent="0.3">
      <c r="B26" s="34" t="s">
        <v>53</v>
      </c>
      <c r="C26" s="34"/>
      <c r="D26" s="34"/>
      <c r="E26" s="35"/>
      <c r="F26" s="35"/>
      <c r="G26" s="36"/>
      <c r="H26" s="35" t="s">
        <v>54</v>
      </c>
      <c r="I26" s="35" t="s">
        <v>123</v>
      </c>
      <c r="J26" s="36"/>
      <c r="K26" s="35" t="s">
        <v>121</v>
      </c>
      <c r="L26" s="36"/>
      <c r="M26" s="36" t="s">
        <v>114</v>
      </c>
      <c r="N26" s="35"/>
      <c r="O26" s="36"/>
      <c r="P26" s="36"/>
      <c r="Q26" s="36"/>
      <c r="R26" s="35"/>
      <c r="S26" s="77"/>
      <c r="V26" s="31" t="s">
        <v>81</v>
      </c>
      <c r="W26" s="31"/>
      <c r="X26" s="31"/>
      <c r="Y26" s="31"/>
      <c r="Z26" s="31"/>
      <c r="AA26" s="31"/>
      <c r="AB26" s="31"/>
      <c r="AC26" s="31"/>
      <c r="AD26" s="31"/>
      <c r="AI26"/>
      <c r="AJ26" s="39"/>
      <c r="AY26" s="47"/>
    </row>
    <row r="27" spans="2:51" x14ac:dyDescent="0.25">
      <c r="B27" s="46" t="str">
        <f>X27</f>
        <v>Furnace</v>
      </c>
      <c r="C27" s="46" t="s">
        <v>69</v>
      </c>
      <c r="D27" s="51" t="s">
        <v>118</v>
      </c>
      <c r="E27" s="44">
        <v>2030</v>
      </c>
      <c r="F27" s="65">
        <v>1</v>
      </c>
      <c r="G27" s="65">
        <v>1</v>
      </c>
      <c r="H27" s="44">
        <v>25</v>
      </c>
      <c r="I27" s="65">
        <v>81</v>
      </c>
      <c r="J27" s="65">
        <v>0</v>
      </c>
      <c r="K27" s="65">
        <v>0.24</v>
      </c>
      <c r="L27" s="65">
        <v>8.76</v>
      </c>
      <c r="M27" s="44"/>
      <c r="N27" s="69"/>
      <c r="O27" s="69"/>
      <c r="P27" s="69"/>
      <c r="Q27" s="69"/>
      <c r="R27" s="69"/>
      <c r="S27" s="44"/>
      <c r="V27" s="61" t="s">
        <v>147</v>
      </c>
      <c r="W27" s="61"/>
      <c r="X27" s="62" t="s">
        <v>66</v>
      </c>
      <c r="Y27" s="63" t="s">
        <v>146</v>
      </c>
      <c r="Z27" s="46" t="s">
        <v>58</v>
      </c>
      <c r="AA27" s="46" t="s">
        <v>87</v>
      </c>
      <c r="AB27" s="64" t="s">
        <v>88</v>
      </c>
      <c r="AC27" s="47"/>
      <c r="AD27" s="47"/>
      <c r="AI27"/>
      <c r="AJ27" s="3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Y27" s="47"/>
    </row>
    <row r="28" spans="2:51" x14ac:dyDescent="0.25">
      <c r="B28" s="46" t="str">
        <f>X$28</f>
        <v>BIOBoiler</v>
      </c>
      <c r="C28" s="46" t="str">
        <f>PRI_Sector_Fuels!P5</f>
        <v>MANBIOMIN</v>
      </c>
      <c r="D28" s="51" t="s">
        <v>118</v>
      </c>
      <c r="E28" s="44">
        <v>2030</v>
      </c>
      <c r="F28" s="65">
        <v>0.7</v>
      </c>
      <c r="G28" s="65">
        <v>0.98</v>
      </c>
      <c r="H28" s="44">
        <v>25</v>
      </c>
      <c r="I28" s="65">
        <v>797.9</v>
      </c>
      <c r="J28" s="65">
        <v>48.48</v>
      </c>
      <c r="K28" s="65">
        <v>3.75</v>
      </c>
      <c r="L28" s="65">
        <v>8.76</v>
      </c>
      <c r="M28" s="44"/>
      <c r="N28" s="69"/>
      <c r="O28" s="44"/>
      <c r="P28" s="44"/>
      <c r="Q28" s="44"/>
      <c r="R28" s="44"/>
      <c r="S28" s="44"/>
      <c r="V28" s="61" t="s">
        <v>147</v>
      </c>
      <c r="W28" s="61"/>
      <c r="X28" s="62" t="s">
        <v>101</v>
      </c>
      <c r="Y28" s="63" t="s">
        <v>100</v>
      </c>
      <c r="Z28" s="46" t="s">
        <v>58</v>
      </c>
      <c r="AA28" s="46" t="s">
        <v>87</v>
      </c>
      <c r="AB28" s="64" t="s">
        <v>88</v>
      </c>
      <c r="AC28" s="47"/>
      <c r="AD28" s="47"/>
      <c r="AI28"/>
      <c r="AJ28" s="3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Y28" s="47"/>
    </row>
    <row r="29" spans="2:51" x14ac:dyDescent="0.25">
      <c r="B29" s="46" t="str">
        <f>X31</f>
        <v>ELCBoiler</v>
      </c>
      <c r="C29" s="46" t="s">
        <v>69</v>
      </c>
      <c r="D29" s="51" t="s">
        <v>118</v>
      </c>
      <c r="E29" s="44">
        <v>2030</v>
      </c>
      <c r="F29" s="65">
        <v>0.99</v>
      </c>
      <c r="G29" s="65">
        <v>1</v>
      </c>
      <c r="H29" s="44">
        <v>25</v>
      </c>
      <c r="I29" s="65">
        <v>112.9</v>
      </c>
      <c r="J29" s="65">
        <v>14.26</v>
      </c>
      <c r="K29" s="65">
        <v>1.22</v>
      </c>
      <c r="L29" s="65">
        <v>8.76</v>
      </c>
      <c r="M29" s="44"/>
      <c r="N29" s="69"/>
      <c r="O29" s="44"/>
      <c r="P29" s="44"/>
      <c r="Q29" s="44"/>
      <c r="R29" s="44"/>
      <c r="S29" s="44"/>
      <c r="V29" s="61" t="s">
        <v>147</v>
      </c>
      <c r="W29" s="61"/>
      <c r="X29" s="62" t="s">
        <v>102</v>
      </c>
      <c r="Y29" s="63" t="s">
        <v>154</v>
      </c>
      <c r="Z29" s="46" t="s">
        <v>58</v>
      </c>
      <c r="AA29" s="46" t="s">
        <v>87</v>
      </c>
      <c r="AB29" s="64" t="s">
        <v>88</v>
      </c>
      <c r="AC29" s="47"/>
      <c r="AD29" s="47"/>
      <c r="AI29"/>
      <c r="AJ29" s="39"/>
      <c r="AY29" s="47"/>
    </row>
    <row r="30" spans="2:51" s="47" customFormat="1" x14ac:dyDescent="0.25">
      <c r="B30" s="46" t="str">
        <f>X29</f>
        <v>BIOKiln</v>
      </c>
      <c r="C30" s="46" t="str">
        <f>PRI_Sector_Fuels!P5</f>
        <v>MANBIOMIN</v>
      </c>
      <c r="D30" s="51" t="s">
        <v>119</v>
      </c>
      <c r="E30" s="44">
        <v>2030</v>
      </c>
      <c r="F30" s="65">
        <v>0.55600000000000005</v>
      </c>
      <c r="G30" s="65">
        <v>0.98</v>
      </c>
      <c r="H30" s="44">
        <v>25</v>
      </c>
      <c r="I30" s="65">
        <v>297.10000000000002</v>
      </c>
      <c r="J30" s="65">
        <v>4.46</v>
      </c>
      <c r="K30" s="65">
        <v>0.45</v>
      </c>
      <c r="L30" s="65">
        <v>8.76</v>
      </c>
      <c r="M30" s="44"/>
      <c r="N30" s="69"/>
      <c r="O30" s="44"/>
      <c r="P30" s="44"/>
      <c r="Q30" s="44"/>
      <c r="R30" s="44"/>
      <c r="S30" s="44"/>
      <c r="V30" s="61" t="s">
        <v>147</v>
      </c>
      <c r="W30" s="61"/>
      <c r="X30" s="62" t="s">
        <v>103</v>
      </c>
      <c r="Y30" s="63" t="s">
        <v>104</v>
      </c>
      <c r="Z30" s="46" t="s">
        <v>58</v>
      </c>
      <c r="AA30" s="46" t="s">
        <v>87</v>
      </c>
      <c r="AB30" s="64" t="s">
        <v>88</v>
      </c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X30</f>
        <v>GASBoiler</v>
      </c>
      <c r="C31" s="46" t="str">
        <f>PRI_Sector_Fuels!P6</f>
        <v>MANGASMIN</v>
      </c>
      <c r="D31" s="51" t="s">
        <v>118</v>
      </c>
      <c r="E31" s="44">
        <v>2030</v>
      </c>
      <c r="F31" s="65">
        <v>0.75</v>
      </c>
      <c r="G31" s="65">
        <v>0.99</v>
      </c>
      <c r="H31" s="44">
        <v>25</v>
      </c>
      <c r="I31" s="65">
        <v>61.4</v>
      </c>
      <c r="J31" s="65">
        <v>2.57</v>
      </c>
      <c r="K31" s="65">
        <v>1.35</v>
      </c>
      <c r="L31" s="65">
        <v>8.76</v>
      </c>
      <c r="M31" s="44"/>
      <c r="N31" s="69"/>
      <c r="O31" s="44"/>
      <c r="P31" s="44"/>
      <c r="Q31" s="44"/>
      <c r="R31" s="44"/>
      <c r="S31" s="44"/>
      <c r="V31" s="61" t="s">
        <v>147</v>
      </c>
      <c r="W31" s="61"/>
      <c r="X31" s="62" t="s">
        <v>105</v>
      </c>
      <c r="Y31" s="63" t="s">
        <v>153</v>
      </c>
      <c r="Z31" s="46" t="s">
        <v>58</v>
      </c>
      <c r="AA31" s="46" t="s">
        <v>87</v>
      </c>
      <c r="AB31" s="64" t="s">
        <v>88</v>
      </c>
      <c r="AI31"/>
      <c r="AJ31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</row>
    <row r="32" spans="2:51" s="47" customFormat="1" x14ac:dyDescent="0.25">
      <c r="B32" s="51" t="str">
        <f>X33</f>
        <v>WNDTRBN</v>
      </c>
      <c r="C32" s="46" t="str">
        <f>PRI_Sector_Fuels!D28</f>
        <v>WIND</v>
      </c>
      <c r="D32" s="51" t="s">
        <v>148</v>
      </c>
      <c r="E32" s="44">
        <v>2030</v>
      </c>
      <c r="F32" s="86">
        <v>1</v>
      </c>
      <c r="G32" s="65">
        <v>0.97</v>
      </c>
      <c r="H32" s="44">
        <v>25</v>
      </c>
      <c r="I32" s="65">
        <v>1041</v>
      </c>
      <c r="J32" s="65">
        <v>38</v>
      </c>
      <c r="K32" s="65"/>
      <c r="L32" s="65">
        <v>8.76</v>
      </c>
      <c r="M32" s="69"/>
      <c r="N32" s="69"/>
      <c r="O32" s="65"/>
      <c r="P32" s="65"/>
      <c r="Q32" s="65"/>
      <c r="R32" s="69"/>
      <c r="S32" s="44">
        <v>0.3</v>
      </c>
      <c r="V32" s="61" t="s">
        <v>147</v>
      </c>
      <c r="W32" s="61"/>
      <c r="X32" s="62" t="s">
        <v>65</v>
      </c>
      <c r="Y32" s="63" t="s">
        <v>106</v>
      </c>
      <c r="Z32" s="46" t="s">
        <v>58</v>
      </c>
      <c r="AA32" s="46" t="s">
        <v>87</v>
      </c>
      <c r="AB32" s="47" t="s">
        <v>88</v>
      </c>
      <c r="AI32"/>
      <c r="AJ32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</row>
    <row r="33" spans="2:49" s="47" customFormat="1" x14ac:dyDescent="0.25">
      <c r="B33" s="51" t="str">
        <f>X34</f>
        <v>SOLPV</v>
      </c>
      <c r="C33" s="46" t="str">
        <f>PRI_Sector_Fuels!D29</f>
        <v>SOLAR</v>
      </c>
      <c r="D33" s="51" t="s">
        <v>148</v>
      </c>
      <c r="E33" s="44">
        <v>2030</v>
      </c>
      <c r="F33" s="86">
        <v>1</v>
      </c>
      <c r="G33" s="65">
        <v>0.99</v>
      </c>
      <c r="H33" s="44">
        <v>25</v>
      </c>
      <c r="I33" s="65">
        <v>691</v>
      </c>
      <c r="J33" s="65">
        <v>6.99</v>
      </c>
      <c r="K33" s="65"/>
      <c r="L33" s="65">
        <v>8.76</v>
      </c>
      <c r="M33" s="69"/>
      <c r="N33" s="69"/>
      <c r="O33" s="65"/>
      <c r="P33" s="65"/>
      <c r="Q33" s="65"/>
      <c r="R33" s="69"/>
      <c r="S33" s="44">
        <v>0.3</v>
      </c>
      <c r="V33" s="61" t="s">
        <v>69</v>
      </c>
      <c r="W33" s="61"/>
      <c r="X33" s="62" t="s">
        <v>93</v>
      </c>
      <c r="Y33" s="63" t="s">
        <v>96</v>
      </c>
      <c r="Z33" s="46" t="s">
        <v>58</v>
      </c>
      <c r="AA33" s="46" t="s">
        <v>87</v>
      </c>
      <c r="AB33" s="47" t="s">
        <v>88</v>
      </c>
      <c r="AI33"/>
      <c r="AJ33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</row>
    <row r="34" spans="2:49" s="47" customFormat="1" x14ac:dyDescent="0.25">
      <c r="B34" s="51" t="str">
        <f>X32</f>
        <v>CSP</v>
      </c>
      <c r="C34" s="46" t="str">
        <f>PRI_Sector_Fuels!D29</f>
        <v>SOLAR</v>
      </c>
      <c r="D34" s="51" t="s">
        <v>118</v>
      </c>
      <c r="E34" s="44">
        <v>2030</v>
      </c>
      <c r="F34" s="86">
        <v>1</v>
      </c>
      <c r="G34" s="65">
        <v>1</v>
      </c>
      <c r="H34" s="44">
        <v>25</v>
      </c>
      <c r="I34" s="65">
        <v>3677</v>
      </c>
      <c r="J34" s="65"/>
      <c r="K34" s="65">
        <v>14</v>
      </c>
      <c r="L34" s="65">
        <v>8.76</v>
      </c>
      <c r="M34" s="69"/>
      <c r="N34" s="69"/>
      <c r="O34" s="65"/>
      <c r="P34" s="65"/>
      <c r="Q34" s="65"/>
      <c r="R34" s="69"/>
      <c r="S34" s="44"/>
      <c r="V34" s="61" t="s">
        <v>69</v>
      </c>
      <c r="W34" s="61"/>
      <c r="X34" s="62" t="s">
        <v>94</v>
      </c>
      <c r="Y34" s="63" t="s">
        <v>95</v>
      </c>
      <c r="Z34" s="46" t="s">
        <v>58</v>
      </c>
      <c r="AA34" s="46" t="s">
        <v>87</v>
      </c>
      <c r="AB34" s="47" t="s">
        <v>88</v>
      </c>
      <c r="AI34"/>
      <c r="AJ34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</row>
    <row r="35" spans="2:49" s="47" customFormat="1" x14ac:dyDescent="0.25">
      <c r="B35" s="51" t="str">
        <f>X30</f>
        <v>GASBoiler</v>
      </c>
      <c r="C35" s="46"/>
      <c r="D35" s="51" t="s">
        <v>115</v>
      </c>
      <c r="E35" s="44">
        <v>2030</v>
      </c>
      <c r="F35" s="86"/>
      <c r="G35" s="65"/>
      <c r="H35" s="44"/>
      <c r="I35" s="65"/>
      <c r="J35" s="65"/>
      <c r="K35" s="65"/>
      <c r="L35" s="65"/>
      <c r="M35" s="69"/>
      <c r="N35" s="69"/>
      <c r="O35" s="65"/>
      <c r="P35" s="65"/>
      <c r="Q35" s="65"/>
      <c r="R35" s="69"/>
      <c r="S35" s="44"/>
      <c r="V35" s="47" t="s">
        <v>147</v>
      </c>
      <c r="X35" s="47" t="s">
        <v>151</v>
      </c>
      <c r="Y35" s="47" t="s">
        <v>152</v>
      </c>
      <c r="AI35"/>
      <c r="AJ35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</row>
    <row r="36" spans="2:49" s="47" customFormat="1" x14ac:dyDescent="0.25">
      <c r="B36" s="51" t="str">
        <f>X27</f>
        <v>Furnace</v>
      </c>
      <c r="C36" s="51" t="str">
        <f>D32</f>
        <v>RNWELC</v>
      </c>
      <c r="D36" s="51" t="s">
        <v>118</v>
      </c>
      <c r="E36" s="44">
        <v>2030</v>
      </c>
      <c r="F36" s="47">
        <v>1</v>
      </c>
      <c r="G36" s="47">
        <v>1</v>
      </c>
      <c r="H36" s="44">
        <v>100</v>
      </c>
      <c r="I36" s="65">
        <v>0</v>
      </c>
      <c r="J36" s="46">
        <v>0</v>
      </c>
      <c r="K36" s="47">
        <v>0</v>
      </c>
      <c r="L36" s="65">
        <v>8.76</v>
      </c>
      <c r="M36" s="69"/>
      <c r="N36" s="69"/>
      <c r="O36" s="65"/>
      <c r="P36" s="65"/>
      <c r="Q36" s="65"/>
      <c r="R36" s="69"/>
      <c r="S36" s="44"/>
      <c r="V36" s="61"/>
      <c r="W36" s="61"/>
      <c r="X36" s="62"/>
      <c r="Y36" s="63"/>
      <c r="Z36" s="46"/>
      <c r="AA36" s="46"/>
      <c r="AI36"/>
      <c r="AJ3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</row>
    <row r="37" spans="2:49" s="47" customFormat="1" x14ac:dyDescent="0.25">
      <c r="B37" s="51" t="str">
        <f>X31</f>
        <v>ELCBoiler</v>
      </c>
      <c r="C37" s="51" t="str">
        <f>D33</f>
        <v>RNWELC</v>
      </c>
      <c r="D37" s="51" t="s">
        <v>118</v>
      </c>
      <c r="E37" s="44">
        <v>2030</v>
      </c>
      <c r="F37" s="47">
        <v>1</v>
      </c>
      <c r="G37" s="47">
        <v>1</v>
      </c>
      <c r="H37" s="44">
        <v>100</v>
      </c>
      <c r="I37" s="65">
        <v>0</v>
      </c>
      <c r="J37" s="46">
        <v>0</v>
      </c>
      <c r="K37" s="47">
        <v>0</v>
      </c>
      <c r="L37" s="65">
        <v>8.76</v>
      </c>
      <c r="M37" s="69"/>
      <c r="N37" s="69"/>
      <c r="O37" s="65"/>
      <c r="P37" s="65"/>
      <c r="Q37" s="65"/>
      <c r="R37" s="69"/>
      <c r="S37" s="44"/>
      <c r="V37" s="61"/>
      <c r="W37" s="61"/>
      <c r="X37" s="62"/>
      <c r="Y37" s="63"/>
      <c r="Z37" s="46"/>
      <c r="AA37" s="46"/>
      <c r="AI37"/>
      <c r="AJ37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</row>
    <row r="38" spans="2:49" s="47" customFormat="1" x14ac:dyDescent="0.25">
      <c r="B38" s="5" t="s">
        <v>151</v>
      </c>
      <c r="C38" s="51" t="s">
        <v>148</v>
      </c>
      <c r="D38" s="51" t="s">
        <v>150</v>
      </c>
      <c r="E38" s="44">
        <v>2030</v>
      </c>
      <c r="F38" s="47">
        <v>1</v>
      </c>
      <c r="G38" s="47">
        <v>1</v>
      </c>
      <c r="H38" s="44">
        <v>100</v>
      </c>
      <c r="I38" s="65">
        <v>0</v>
      </c>
      <c r="J38" s="46">
        <v>0</v>
      </c>
      <c r="K38" s="47">
        <v>0</v>
      </c>
      <c r="L38" s="65">
        <v>8.76</v>
      </c>
      <c r="M38" s="69"/>
      <c r="N38" s="69"/>
      <c r="O38" s="65"/>
      <c r="P38" s="65"/>
      <c r="Q38" s="65"/>
      <c r="R38" s="69"/>
      <c r="S38" s="44"/>
      <c r="V38" s="61"/>
      <c r="W38" s="61"/>
      <c r="X38" s="62"/>
      <c r="Y38" s="63"/>
      <c r="Z38" s="46"/>
      <c r="AA38" s="46"/>
      <c r="AI38"/>
      <c r="AJ38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</row>
    <row r="39" spans="2:49" s="47" customFormat="1" x14ac:dyDescent="0.25">
      <c r="B39" s="51"/>
      <c r="C39" s="51"/>
      <c r="D39" s="51"/>
      <c r="E39" s="44"/>
      <c r="H39" s="44"/>
      <c r="I39" s="65"/>
      <c r="J39" s="46"/>
      <c r="L39" s="65"/>
      <c r="M39" s="69"/>
      <c r="N39" s="69"/>
      <c r="O39" s="65"/>
      <c r="P39" s="65"/>
      <c r="Q39" s="65"/>
      <c r="R39" s="69"/>
      <c r="S39" s="44"/>
      <c r="V39" s="61"/>
      <c r="W39" s="61"/>
      <c r="X39" s="62"/>
      <c r="Y39" s="63"/>
      <c r="Z39" s="46"/>
      <c r="AA39" s="46"/>
      <c r="AI39"/>
      <c r="AJ39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</row>
    <row r="40" spans="2:49" s="47" customFormat="1" x14ac:dyDescent="0.25">
      <c r="B40" s="51"/>
      <c r="C40" s="51"/>
      <c r="D40" s="51"/>
      <c r="E40" s="44"/>
      <c r="H40" s="44"/>
      <c r="I40" s="65"/>
      <c r="J40" s="46"/>
      <c r="L40" s="65"/>
      <c r="M40" s="69"/>
      <c r="N40" s="69"/>
      <c r="O40" s="65"/>
      <c r="P40" s="65"/>
      <c r="Q40" s="65"/>
      <c r="R40" s="69"/>
      <c r="S40" s="44"/>
      <c r="V40" s="46" t="s">
        <v>147</v>
      </c>
      <c r="W40" s="46"/>
      <c r="X40" s="46" t="s">
        <v>116</v>
      </c>
      <c r="Y40" s="46" t="s">
        <v>117</v>
      </c>
      <c r="Z40" s="46" t="s">
        <v>58</v>
      </c>
      <c r="AA40" s="46" t="s">
        <v>87</v>
      </c>
      <c r="AB40" s="47" t="s">
        <v>88</v>
      </c>
      <c r="AC40" s="46"/>
      <c r="AD40" s="46"/>
      <c r="AI40"/>
      <c r="AJ40"/>
      <c r="AK40" s="79"/>
      <c r="AL40" s="79"/>
      <c r="AM40" s="79"/>
      <c r="AN40" s="79"/>
      <c r="AO40" s="79"/>
      <c r="AP40" s="79"/>
      <c r="AQ40" s="79"/>
      <c r="AR40" s="79"/>
      <c r="AS40" s="79"/>
      <c r="AT40" s="79"/>
      <c r="AU40" s="79"/>
      <c r="AV40" s="79"/>
      <c r="AW40" s="79"/>
    </row>
    <row r="41" spans="2:49" s="47" customFormat="1" x14ac:dyDescent="0.25">
      <c r="B41" s="51"/>
      <c r="C41" s="46"/>
      <c r="D41" s="51"/>
      <c r="E41" s="44"/>
      <c r="F41" s="86"/>
      <c r="G41" s="65"/>
      <c r="H41" s="44"/>
      <c r="I41" s="65"/>
      <c r="J41" s="65"/>
      <c r="K41" s="65"/>
      <c r="L41" s="65"/>
      <c r="M41" s="69"/>
      <c r="N41" s="69"/>
      <c r="O41" s="65"/>
      <c r="P41" s="65"/>
      <c r="Q41" s="65"/>
      <c r="R41" s="69"/>
      <c r="S41" s="44"/>
      <c r="AI41"/>
      <c r="AJ41"/>
      <c r="AK41" s="79"/>
      <c r="AL41" s="79"/>
      <c r="AM41" s="79"/>
      <c r="AN41" s="79"/>
      <c r="AO41" s="79"/>
      <c r="AP41" s="79"/>
      <c r="AQ41" s="79"/>
      <c r="AR41" s="79"/>
      <c r="AS41" s="79"/>
      <c r="AT41" s="79"/>
      <c r="AU41" s="79"/>
      <c r="AV41" s="79"/>
      <c r="AW41" s="79"/>
    </row>
    <row r="42" spans="2:49" s="47" customFormat="1" x14ac:dyDescent="0.25">
      <c r="B42" s="46" t="str">
        <f>X40</f>
        <v>RNWHEAT</v>
      </c>
      <c r="C42" s="51">
        <f>X12</f>
        <v>0</v>
      </c>
      <c r="D42" s="87" t="s">
        <v>118</v>
      </c>
      <c r="E42" s="44">
        <v>2030</v>
      </c>
      <c r="F42" s="65">
        <v>1</v>
      </c>
      <c r="G42" s="65">
        <v>1</v>
      </c>
      <c r="H42" s="44">
        <v>100</v>
      </c>
      <c r="I42" s="65">
        <v>0</v>
      </c>
      <c r="J42" s="65"/>
      <c r="K42" s="65"/>
      <c r="L42" s="65">
        <v>8.76</v>
      </c>
      <c r="M42" s="69"/>
      <c r="N42" s="69"/>
      <c r="O42" s="65"/>
      <c r="P42" s="65"/>
      <c r="Q42" s="65"/>
      <c r="R42" s="69"/>
      <c r="S42" s="44"/>
      <c r="V42" s="46"/>
      <c r="W42" s="46"/>
      <c r="X42" s="46"/>
      <c r="Y42" s="46"/>
      <c r="Z42" s="46"/>
      <c r="AA42" s="46"/>
      <c r="AB42" s="46"/>
      <c r="AC42" s="46"/>
      <c r="AD42" s="46"/>
      <c r="AI42"/>
      <c r="AJ42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</row>
    <row r="43" spans="2:49" s="47" customFormat="1" x14ac:dyDescent="0.25">
      <c r="B43" s="46" t="str">
        <f>X40</f>
        <v>RNWHEAT</v>
      </c>
      <c r="C43" s="51">
        <f>X13</f>
        <v>0</v>
      </c>
      <c r="D43" s="87" t="s">
        <v>118</v>
      </c>
      <c r="E43" s="44">
        <v>2030</v>
      </c>
      <c r="F43" s="65">
        <v>1</v>
      </c>
      <c r="G43" s="65">
        <v>1</v>
      </c>
      <c r="H43" s="44">
        <v>100</v>
      </c>
      <c r="I43" s="65">
        <v>0</v>
      </c>
      <c r="J43" s="65"/>
      <c r="K43" s="65"/>
      <c r="L43" s="65">
        <v>8.76</v>
      </c>
      <c r="M43" s="69"/>
      <c r="N43" s="69"/>
      <c r="O43" s="65"/>
      <c r="P43" s="65"/>
      <c r="Q43" s="65"/>
      <c r="R43" s="69"/>
      <c r="S43" s="44"/>
      <c r="V43" s="46"/>
      <c r="W43" s="46"/>
      <c r="X43" s="46"/>
      <c r="Y43" s="46"/>
      <c r="Z43" s="46"/>
      <c r="AA43" s="46"/>
      <c r="AB43" s="46"/>
      <c r="AC43" s="46"/>
      <c r="AD43" s="46"/>
      <c r="AI43"/>
      <c r="AJ43"/>
      <c r="AK43" s="39"/>
      <c r="AL43" s="39"/>
      <c r="AM43" s="46"/>
      <c r="AN43" s="46"/>
      <c r="AO43" s="46"/>
      <c r="AQ43"/>
      <c r="AR43"/>
      <c r="AS43" s="39"/>
      <c r="AT43" s="39"/>
      <c r="AU43" s="46"/>
      <c r="AV43" s="46"/>
    </row>
    <row r="44" spans="2:49" s="47" customFormat="1" x14ac:dyDescent="0.25">
      <c r="B44" s="46" t="str">
        <f>X40</f>
        <v>RNWHEAT</v>
      </c>
      <c r="C44" s="51">
        <f>X14</f>
        <v>0</v>
      </c>
      <c r="D44" s="87" t="s">
        <v>118</v>
      </c>
      <c r="E44" s="44">
        <v>2030</v>
      </c>
      <c r="F44" s="65">
        <v>1</v>
      </c>
      <c r="G44" s="65">
        <v>1</v>
      </c>
      <c r="H44" s="44">
        <v>100</v>
      </c>
      <c r="I44" s="65">
        <v>0</v>
      </c>
      <c r="J44" s="65"/>
      <c r="K44" s="65"/>
      <c r="L44" s="65">
        <v>8.76</v>
      </c>
      <c r="M44" s="69"/>
      <c r="N44" s="69"/>
      <c r="O44" s="65"/>
      <c r="P44" s="65"/>
      <c r="Q44" s="65"/>
      <c r="R44" s="69"/>
      <c r="S44" s="44"/>
      <c r="V44" s="46"/>
      <c r="W44" s="46"/>
      <c r="X44" s="46"/>
      <c r="Y44" s="46"/>
      <c r="Z44" s="46"/>
      <c r="AA44" s="46"/>
      <c r="AB44" s="46"/>
      <c r="AC44" s="46"/>
      <c r="AD44" s="46"/>
      <c r="AI44"/>
      <c r="AJ44"/>
      <c r="AK44" s="39"/>
      <c r="AL44" s="39"/>
      <c r="AM44" s="46"/>
      <c r="AN44" s="46"/>
      <c r="AO44" s="46"/>
      <c r="AQ44"/>
      <c r="AR44"/>
      <c r="AS44" s="39"/>
      <c r="AT44" s="39"/>
      <c r="AU44" s="46"/>
      <c r="AV44" s="46"/>
    </row>
    <row r="45" spans="2:49" s="47" customFormat="1" x14ac:dyDescent="0.25">
      <c r="B45" s="51" t="str">
        <f>X30</f>
        <v>GASBoiler</v>
      </c>
      <c r="C45" s="51"/>
      <c r="D45" s="51" t="s">
        <v>115</v>
      </c>
      <c r="E45" s="44">
        <v>2030</v>
      </c>
      <c r="F45" s="65"/>
      <c r="G45" s="65">
        <v>1</v>
      </c>
      <c r="H45" s="44">
        <v>100</v>
      </c>
      <c r="I45" s="65">
        <v>0</v>
      </c>
      <c r="J45" s="65"/>
      <c r="K45" s="65"/>
      <c r="L45" s="65">
        <v>8.76</v>
      </c>
      <c r="M45" s="44"/>
      <c r="N45" s="69"/>
      <c r="O45" s="44"/>
      <c r="P45" s="44"/>
      <c r="Q45" s="44"/>
      <c r="R45" s="44"/>
      <c r="S45" s="44"/>
      <c r="V45" s="46"/>
      <c r="W45" s="46"/>
      <c r="X45" s="46"/>
      <c r="Y45" s="46"/>
      <c r="Z45" s="46"/>
      <c r="AA45" s="46"/>
      <c r="AB45" s="46"/>
      <c r="AC45" s="46"/>
      <c r="AD45" s="46"/>
      <c r="AI45"/>
      <c r="AJ45"/>
      <c r="AK45" s="39"/>
      <c r="AL45" s="39"/>
      <c r="AM45" s="46"/>
      <c r="AN45" s="46"/>
      <c r="AO45" s="46"/>
      <c r="AQ45"/>
      <c r="AR45"/>
      <c r="AS45" s="39"/>
      <c r="AT45" s="39"/>
      <c r="AU45" s="46"/>
      <c r="AV45" s="46"/>
    </row>
    <row r="46" spans="2:49" s="47" customFormat="1" x14ac:dyDescent="0.25">
      <c r="B46" s="51"/>
      <c r="C46" s="51"/>
      <c r="D46" s="51"/>
      <c r="E46" s="44"/>
      <c r="H46" s="44"/>
      <c r="I46" s="65"/>
      <c r="J46" s="46"/>
      <c r="L46" s="65"/>
      <c r="N46" s="66"/>
      <c r="V46" s="46"/>
      <c r="W46" s="46"/>
      <c r="X46" s="46"/>
      <c r="Y46" s="46"/>
      <c r="Z46" s="46"/>
      <c r="AA46" s="46"/>
      <c r="AB46" s="46"/>
      <c r="AC46" s="46"/>
      <c r="AD46" s="46"/>
      <c r="AI46"/>
      <c r="AJ46"/>
      <c r="AK46" s="39"/>
      <c r="AL46" s="39"/>
      <c r="AM46" s="46"/>
      <c r="AN46" s="46"/>
      <c r="AO46" s="46"/>
      <c r="AQ46"/>
      <c r="AR46"/>
      <c r="AS46" s="39"/>
      <c r="AT46" s="39"/>
      <c r="AU46" s="46"/>
      <c r="AV46" s="46"/>
    </row>
    <row r="47" spans="2:49" s="47" customFormat="1" x14ac:dyDescent="0.25">
      <c r="B47" s="51"/>
      <c r="C47" s="51"/>
      <c r="D47" s="51"/>
      <c r="E47" s="44"/>
      <c r="H47" s="44"/>
      <c r="I47" s="65"/>
      <c r="J47" s="46"/>
      <c r="L47" s="65"/>
      <c r="N47" s="66"/>
      <c r="V47" s="38"/>
      <c r="W47" s="38"/>
      <c r="X47" s="39"/>
      <c r="Y47" s="40"/>
      <c r="Z47" s="38"/>
      <c r="AA47" s="38"/>
      <c r="AB47" s="38"/>
      <c r="AC47" s="46"/>
      <c r="AD47" s="46"/>
      <c r="AI47"/>
      <c r="AJ47"/>
      <c r="AK47" s="39"/>
      <c r="AL47" s="39"/>
      <c r="AM47" s="46"/>
      <c r="AN47" s="46"/>
      <c r="AO47" s="46"/>
      <c r="AQ47"/>
      <c r="AR47"/>
      <c r="AS47" s="39"/>
      <c r="AT47" s="39"/>
      <c r="AU47" s="46"/>
      <c r="AV47" s="46"/>
    </row>
    <row r="48" spans="2:49" s="47" customFormat="1" x14ac:dyDescent="0.25">
      <c r="B48" s="46"/>
      <c r="C48" s="51"/>
      <c r="D48" s="51"/>
      <c r="E48" s="65"/>
      <c r="F48" s="66"/>
      <c r="K48" s="46"/>
      <c r="V48" s="38"/>
      <c r="W48" s="38"/>
      <c r="X48" s="39"/>
      <c r="Y48" s="40"/>
      <c r="Z48" s="38"/>
      <c r="AA48" s="38"/>
      <c r="AB48" s="38"/>
      <c r="AC48" s="46"/>
      <c r="AD48" s="46"/>
      <c r="AI48"/>
      <c r="AJ48"/>
      <c r="AK48" s="39"/>
      <c r="AL48" s="39"/>
      <c r="AM48" s="46"/>
      <c r="AN48" s="46"/>
      <c r="AO48" s="46"/>
      <c r="AQ48"/>
      <c r="AR48"/>
      <c r="AS48" s="39"/>
      <c r="AT48" s="39"/>
      <c r="AU48" s="46"/>
      <c r="AV48" s="46"/>
    </row>
    <row r="49" spans="1:48" s="47" customFormat="1" x14ac:dyDescent="0.25">
      <c r="B49" s="51"/>
      <c r="C49" s="51"/>
      <c r="D49" s="51"/>
      <c r="E49" s="65"/>
      <c r="F49" s="66"/>
      <c r="J49" s="67"/>
      <c r="K49" s="46"/>
      <c r="V49" s="46"/>
      <c r="W49" s="46"/>
      <c r="X49" s="46"/>
      <c r="Y49" s="46"/>
      <c r="Z49" s="51"/>
      <c r="AA49" s="51"/>
      <c r="AB49" s="64"/>
      <c r="AC49" s="46"/>
      <c r="AD49" s="46"/>
      <c r="AI49"/>
      <c r="AJ49"/>
      <c r="AK49" s="39"/>
      <c r="AL49" s="39"/>
      <c r="AM49" s="46"/>
      <c r="AN49" s="46"/>
      <c r="AO49" s="46"/>
      <c r="AQ49"/>
      <c r="AR49"/>
      <c r="AS49" s="39"/>
      <c r="AT49" s="39"/>
      <c r="AU49" s="46"/>
      <c r="AV49" s="46"/>
    </row>
    <row r="50" spans="1:48" x14ac:dyDescent="0.25">
      <c r="A50" s="47"/>
      <c r="B50" s="51"/>
      <c r="D50" s="51"/>
      <c r="E50" s="65"/>
      <c r="F50" s="68"/>
      <c r="J50" s="69"/>
      <c r="L50" s="47"/>
      <c r="M50" s="47"/>
      <c r="N50" s="47"/>
      <c r="O50" s="47"/>
      <c r="P50" s="47"/>
      <c r="Q50" s="47"/>
      <c r="R50" s="47"/>
      <c r="S50" s="47"/>
      <c r="W50" s="47"/>
      <c r="Y50" s="47"/>
      <c r="Z50" s="55"/>
      <c r="AA50" s="55"/>
      <c r="AI50"/>
      <c r="AJ50"/>
      <c r="AK50" s="39"/>
      <c r="AL50" s="39"/>
      <c r="AP50" s="47"/>
      <c r="AQ50"/>
      <c r="AR50"/>
      <c r="AS50" s="39"/>
      <c r="AT50" s="39"/>
    </row>
    <row r="51" spans="1:48" x14ac:dyDescent="0.25">
      <c r="A51" s="47"/>
      <c r="E51" s="65"/>
      <c r="F51" s="68"/>
      <c r="J51" s="69"/>
      <c r="L51" s="47"/>
      <c r="M51" s="47"/>
      <c r="N51" s="47"/>
      <c r="O51" s="47"/>
      <c r="P51" s="47"/>
      <c r="Q51" s="47"/>
      <c r="R51" s="47"/>
      <c r="S51" s="47"/>
      <c r="AI51"/>
      <c r="AJ51"/>
      <c r="AK51" s="39"/>
      <c r="AL51" s="39"/>
      <c r="AP51" s="47"/>
      <c r="AQ51"/>
      <c r="AR51"/>
      <c r="AS51" s="39"/>
      <c r="AT51" s="39"/>
    </row>
    <row r="52" spans="1:48" x14ac:dyDescent="0.25">
      <c r="F52" s="68"/>
      <c r="G52" s="44"/>
      <c r="H52" s="70"/>
      <c r="AI52"/>
      <c r="AJ52"/>
      <c r="AK52" s="39"/>
      <c r="AL52" s="39"/>
      <c r="AQ52"/>
      <c r="AR52"/>
      <c r="AS52" s="39"/>
      <c r="AT52" s="39"/>
    </row>
    <row r="53" spans="1:48" x14ac:dyDescent="0.25">
      <c r="H53" s="70"/>
      <c r="AI53"/>
      <c r="AJ53"/>
      <c r="AK53" s="39"/>
      <c r="AL53" s="39"/>
      <c r="AQ53"/>
      <c r="AR53"/>
      <c r="AS53" s="39"/>
      <c r="AT53" s="39"/>
    </row>
    <row r="54" spans="1:48" x14ac:dyDescent="0.25">
      <c r="B54" s="71"/>
      <c r="C54" s="46" t="s">
        <v>82</v>
      </c>
      <c r="H54" s="70"/>
      <c r="AI54"/>
      <c r="AJ54"/>
      <c r="AK54" s="39"/>
      <c r="AL54" s="39"/>
      <c r="AQ54"/>
      <c r="AR54"/>
      <c r="AS54" s="39"/>
      <c r="AT54" s="39"/>
    </row>
    <row r="55" spans="1:48" x14ac:dyDescent="0.25">
      <c r="B55" s="72"/>
      <c r="C55" s="46" t="s">
        <v>83</v>
      </c>
      <c r="H55" s="70"/>
      <c r="AI55"/>
      <c r="AJ55"/>
      <c r="AK55" s="39"/>
      <c r="AL55" s="39"/>
      <c r="AQ55"/>
      <c r="AR55"/>
      <c r="AS55" s="39"/>
      <c r="AT55" s="39"/>
    </row>
    <row r="56" spans="1:48" x14ac:dyDescent="0.25">
      <c r="E56" s="46" t="s">
        <v>89</v>
      </c>
      <c r="F56" s="46" t="s">
        <v>90</v>
      </c>
      <c r="H56" s="70"/>
      <c r="AI56"/>
      <c r="AJ56"/>
      <c r="AK56" s="39"/>
      <c r="AL56" s="39"/>
      <c r="AQ56"/>
      <c r="AR56"/>
      <c r="AS56" s="39"/>
      <c r="AT56" s="39"/>
    </row>
    <row r="57" spans="1:48" x14ac:dyDescent="0.25">
      <c r="AI57"/>
      <c r="AJ57"/>
      <c r="AK57" s="39"/>
      <c r="AL57" s="39"/>
      <c r="AQ57"/>
      <c r="AR57"/>
      <c r="AS57" s="39"/>
      <c r="AT57" s="39"/>
    </row>
    <row r="58" spans="1:48" x14ac:dyDescent="0.25">
      <c r="E58" s="46" t="s">
        <v>91</v>
      </c>
      <c r="F58" s="46">
        <f>24*365</f>
        <v>8760</v>
      </c>
      <c r="AI58"/>
      <c r="AJ58"/>
      <c r="AK58" s="39"/>
      <c r="AL58" s="39"/>
      <c r="AQ58"/>
      <c r="AR58"/>
      <c r="AS58" s="39"/>
      <c r="AT58" s="39"/>
    </row>
    <row r="59" spans="1:48" x14ac:dyDescent="0.25">
      <c r="E59" s="44"/>
      <c r="AI59"/>
      <c r="AJ59"/>
      <c r="AK59" s="39"/>
      <c r="AL59" s="39"/>
      <c r="AQ59"/>
      <c r="AR59"/>
      <c r="AS59" s="39"/>
      <c r="AT59" s="39"/>
    </row>
    <row r="60" spans="1:48" x14ac:dyDescent="0.25">
      <c r="AI60"/>
      <c r="AJ60"/>
      <c r="AK60" s="39"/>
      <c r="AL60" s="39"/>
      <c r="AQ60"/>
      <c r="AR60"/>
      <c r="AS60" s="39"/>
      <c r="AT60" s="39"/>
    </row>
    <row r="61" spans="1:48" x14ac:dyDescent="0.25">
      <c r="AI61"/>
      <c r="AJ61"/>
      <c r="AK61" s="39"/>
      <c r="AL61" s="39"/>
      <c r="AQ61"/>
      <c r="AR61"/>
      <c r="AS61" s="39"/>
      <c r="AT61" s="39"/>
    </row>
    <row r="62" spans="1:48" x14ac:dyDescent="0.25">
      <c r="AI62"/>
      <c r="AJ62"/>
      <c r="AK62" s="39"/>
      <c r="AL62" s="39"/>
      <c r="AQ62"/>
      <c r="AR62"/>
      <c r="AS62" s="39"/>
      <c r="AT62" s="39"/>
    </row>
    <row r="63" spans="1:48" x14ac:dyDescent="0.25">
      <c r="AI63"/>
      <c r="AJ63"/>
      <c r="AK63" s="39"/>
      <c r="AL63" s="39"/>
      <c r="AQ63"/>
      <c r="AR63"/>
      <c r="AS63" s="39"/>
      <c r="AT63" s="39"/>
    </row>
    <row r="64" spans="1:48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B66" s="74" t="s">
        <v>125</v>
      </c>
      <c r="C66" s="74"/>
      <c r="D66"/>
      <c r="E66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ht="13.8" thickBot="1" x14ac:dyDescent="0.3">
      <c r="B67" s="75" t="s">
        <v>126</v>
      </c>
      <c r="C67" s="75" t="s">
        <v>127</v>
      </c>
      <c r="D67" s="75" t="s">
        <v>11</v>
      </c>
      <c r="E67" s="75" t="s">
        <v>120</v>
      </c>
      <c r="F67" s="75">
        <v>2022</v>
      </c>
      <c r="G67" s="75">
        <v>2025</v>
      </c>
      <c r="H67" s="75">
        <v>2030</v>
      </c>
      <c r="I67" s="75">
        <v>2035</v>
      </c>
      <c r="J67" s="75">
        <v>2040</v>
      </c>
      <c r="K67" s="75">
        <v>2045</v>
      </c>
      <c r="L67" s="75">
        <v>2050</v>
      </c>
      <c r="AI67"/>
      <c r="AJ67"/>
      <c r="AK67" s="39"/>
      <c r="AL67" s="39"/>
      <c r="AQ67"/>
      <c r="AR67"/>
      <c r="AS67" s="39"/>
      <c r="AT67" s="39"/>
    </row>
    <row r="68" spans="1:48" x14ac:dyDescent="0.25">
      <c r="B68" t="s">
        <v>111</v>
      </c>
      <c r="C68" t="s">
        <v>94</v>
      </c>
      <c r="D68" t="s">
        <v>129</v>
      </c>
      <c r="E68" s="1" t="s">
        <v>130</v>
      </c>
      <c r="F68">
        <v>0</v>
      </c>
      <c r="G68">
        <v>0</v>
      </c>
      <c r="H68"/>
      <c r="I68"/>
      <c r="J68"/>
      <c r="K68"/>
      <c r="L68"/>
      <c r="AI68"/>
      <c r="AJ68"/>
      <c r="AK68" s="39"/>
      <c r="AL68" s="39"/>
      <c r="AQ68"/>
      <c r="AR68"/>
      <c r="AS68" s="39"/>
      <c r="AT68" s="39"/>
    </row>
    <row r="69" spans="1:48" x14ac:dyDescent="0.25">
      <c r="B69" t="s">
        <v>111</v>
      </c>
      <c r="C69" t="s">
        <v>93</v>
      </c>
      <c r="D69" t="s">
        <v>129</v>
      </c>
      <c r="E69" s="1" t="s">
        <v>130</v>
      </c>
      <c r="F69">
        <v>0</v>
      </c>
      <c r="G69">
        <v>0</v>
      </c>
      <c r="H69"/>
      <c r="I69"/>
      <c r="J69"/>
      <c r="K69"/>
      <c r="L69"/>
      <c r="AI69"/>
      <c r="AJ69"/>
      <c r="AK69" s="39"/>
      <c r="AL69" s="39"/>
      <c r="AQ69"/>
      <c r="AR69"/>
      <c r="AS69" s="39"/>
      <c r="AT69" s="39"/>
    </row>
    <row r="70" spans="1:48" x14ac:dyDescent="0.25">
      <c r="B70" t="s">
        <v>111</v>
      </c>
      <c r="C70" t="s">
        <v>65</v>
      </c>
      <c r="D70" t="s">
        <v>129</v>
      </c>
      <c r="E70" s="1" t="s">
        <v>130</v>
      </c>
      <c r="F70">
        <v>0</v>
      </c>
      <c r="G70">
        <v>0</v>
      </c>
      <c r="H70"/>
      <c r="I70"/>
      <c r="J70"/>
      <c r="K70"/>
      <c r="L70"/>
      <c r="AI70"/>
      <c r="AJ70"/>
      <c r="AK70" s="39"/>
      <c r="AL70" s="39"/>
      <c r="AQ70"/>
      <c r="AR70"/>
      <c r="AS70" s="39"/>
      <c r="AT70" s="39"/>
    </row>
    <row r="71" spans="1:48" x14ac:dyDescent="0.25">
      <c r="B71" t="s">
        <v>111</v>
      </c>
      <c r="C71" t="s">
        <v>128</v>
      </c>
      <c r="D71" t="s">
        <v>129</v>
      </c>
      <c r="E71" s="1" t="s">
        <v>130</v>
      </c>
      <c r="F71">
        <v>0</v>
      </c>
      <c r="G71">
        <v>0</v>
      </c>
      <c r="H71"/>
      <c r="I71"/>
      <c r="J71"/>
      <c r="K71"/>
      <c r="L71"/>
      <c r="AI71"/>
      <c r="AJ71"/>
      <c r="AK71" s="39"/>
      <c r="AL71" s="39"/>
      <c r="AQ71"/>
      <c r="AR71"/>
      <c r="AS71" s="39"/>
      <c r="AT71" s="39"/>
    </row>
    <row r="72" spans="1:48" x14ac:dyDescent="0.25">
      <c r="B72" t="s">
        <v>111</v>
      </c>
      <c r="C72" t="s">
        <v>102</v>
      </c>
      <c r="D72" t="s">
        <v>129</v>
      </c>
      <c r="E72" s="1" t="s">
        <v>130</v>
      </c>
      <c r="F72">
        <v>0</v>
      </c>
      <c r="G72">
        <v>0</v>
      </c>
      <c r="H72"/>
      <c r="I72"/>
      <c r="J72"/>
      <c r="K72"/>
      <c r="L72"/>
      <c r="AI72"/>
      <c r="AJ72"/>
      <c r="AK72" s="39"/>
      <c r="AL72" s="39"/>
      <c r="AQ72"/>
      <c r="AR72"/>
      <c r="AS72" s="39"/>
      <c r="AT72" s="39"/>
    </row>
    <row r="73" spans="1:48" x14ac:dyDescent="0.25">
      <c r="B73" t="s">
        <v>111</v>
      </c>
      <c r="C73" t="s">
        <v>105</v>
      </c>
      <c r="D73" t="s">
        <v>129</v>
      </c>
      <c r="E73" s="1" t="s">
        <v>130</v>
      </c>
      <c r="F73">
        <v>0</v>
      </c>
      <c r="G73">
        <v>0</v>
      </c>
      <c r="H73"/>
      <c r="I73"/>
      <c r="J73"/>
      <c r="K73"/>
      <c r="L73"/>
      <c r="AI73"/>
      <c r="AJ73"/>
      <c r="AK73" s="39"/>
      <c r="AL73" s="39"/>
      <c r="AQ73"/>
      <c r="AR73"/>
      <c r="AS73" s="39"/>
      <c r="AT73" s="39"/>
    </row>
    <row r="74" spans="1:48" x14ac:dyDescent="0.25">
      <c r="B74" t="s">
        <v>111</v>
      </c>
      <c r="C74" t="s">
        <v>66</v>
      </c>
      <c r="D74" t="s">
        <v>129</v>
      </c>
      <c r="E74" s="1" t="s">
        <v>130</v>
      </c>
      <c r="F74">
        <v>0</v>
      </c>
      <c r="G74">
        <v>0</v>
      </c>
      <c r="H74"/>
      <c r="I74"/>
      <c r="J74"/>
      <c r="K74"/>
      <c r="L74"/>
      <c r="AI74"/>
      <c r="AJ74"/>
      <c r="AK74" s="39"/>
      <c r="AL74" s="39"/>
      <c r="AQ74"/>
      <c r="AR74"/>
      <c r="AS74" s="39"/>
      <c r="AT74" s="39"/>
    </row>
    <row r="75" spans="1:48" x14ac:dyDescent="0.25">
      <c r="B75" t="s">
        <v>111</v>
      </c>
      <c r="C75" t="s">
        <v>103</v>
      </c>
      <c r="D75" t="s">
        <v>129</v>
      </c>
      <c r="E75" s="1" t="s">
        <v>130</v>
      </c>
      <c r="F75">
        <v>0</v>
      </c>
      <c r="G75">
        <v>0</v>
      </c>
      <c r="H75"/>
      <c r="I75"/>
      <c r="J75"/>
      <c r="K75"/>
      <c r="L75"/>
      <c r="AI75"/>
      <c r="AJ75"/>
      <c r="AK75" s="39"/>
      <c r="AL75" s="39"/>
      <c r="AQ75"/>
      <c r="AR75"/>
      <c r="AS75" s="39"/>
      <c r="AT75" s="39"/>
    </row>
    <row r="76" spans="1:48" x14ac:dyDescent="0.25">
      <c r="AI76"/>
      <c r="AJ76"/>
      <c r="AK76" s="39"/>
      <c r="AL76" s="39"/>
      <c r="AQ76"/>
      <c r="AR76"/>
      <c r="AS76" s="39"/>
      <c r="AT76" s="39"/>
    </row>
    <row r="77" spans="1:48" x14ac:dyDescent="0.25">
      <c r="AI77"/>
      <c r="AJ77"/>
      <c r="AK77" s="39"/>
      <c r="AL77" s="39"/>
      <c r="AQ77"/>
      <c r="AR77"/>
      <c r="AS77" s="39"/>
      <c r="AT77" s="39"/>
    </row>
    <row r="78" spans="1:48" x14ac:dyDescent="0.25">
      <c r="AI78"/>
      <c r="AJ78"/>
      <c r="AK78" s="39"/>
      <c r="AL78" s="39"/>
      <c r="AQ78"/>
      <c r="AR78"/>
      <c r="AS78" s="39"/>
      <c r="AT78" s="39"/>
    </row>
    <row r="79" spans="1:48" x14ac:dyDescent="0.25">
      <c r="AI79"/>
      <c r="AJ79"/>
      <c r="AK79" s="39"/>
      <c r="AL79" s="39"/>
      <c r="AQ79"/>
      <c r="AR79"/>
      <c r="AS79" s="39"/>
      <c r="AT79" s="39"/>
    </row>
    <row r="80" spans="1:48" s="47" customFormat="1" x14ac:dyDescent="0.25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AI80"/>
      <c r="AJ80" s="83"/>
      <c r="AK80" s="39"/>
      <c r="AL80" s="42"/>
      <c r="AM80" s="46"/>
      <c r="AN80" s="46"/>
      <c r="AQ80"/>
      <c r="AR80" s="83"/>
      <c r="AS80" s="39"/>
      <c r="AT80" s="42"/>
      <c r="AU80" s="46"/>
      <c r="AV80" s="46"/>
    </row>
    <row r="81" spans="1:37" s="47" customFormat="1" x14ac:dyDescent="0.25">
      <c r="A81" s="74"/>
      <c r="B81"/>
      <c r="C81"/>
      <c r="D81" s="46"/>
      <c r="E81" s="74"/>
      <c r="F81" s="74"/>
      <c r="G81" s="1"/>
      <c r="H81"/>
      <c r="I81" s="74"/>
      <c r="J81"/>
      <c r="K81"/>
      <c r="L81" s="74"/>
      <c r="M81" s="74"/>
      <c r="N81" s="74"/>
      <c r="O81" s="1"/>
      <c r="P81" s="46"/>
      <c r="Q81" s="46"/>
      <c r="R81" s="46"/>
      <c r="S81" s="46"/>
      <c r="AI81" s="43"/>
      <c r="AJ81" s="43"/>
      <c r="AK81" s="55"/>
    </row>
    <row r="82" spans="1:37" s="47" customFormat="1" x14ac:dyDescent="0.25">
      <c r="A82" s="82"/>
      <c r="B82" s="82"/>
      <c r="C82" s="82"/>
      <c r="D82" s="82"/>
      <c r="E82" s="82"/>
      <c r="F82" s="82"/>
      <c r="G82" s="82"/>
      <c r="H82" s="83"/>
      <c r="I82" s="82"/>
      <c r="J82" s="82"/>
      <c r="K82" s="82"/>
      <c r="L82" s="82"/>
      <c r="M82" s="82"/>
      <c r="N82" s="82"/>
      <c r="O82" s="82"/>
      <c r="AI82" s="43"/>
      <c r="AJ82" s="43"/>
      <c r="AK82" s="55"/>
    </row>
    <row r="83" spans="1:37" x14ac:dyDescent="0.25">
      <c r="A83" s="84"/>
      <c r="B83" s="84"/>
      <c r="C83" s="85"/>
      <c r="D83" s="84"/>
      <c r="E83" s="84"/>
      <c r="F83" s="84"/>
      <c r="G83" s="84"/>
      <c r="H83" s="83"/>
      <c r="I83" s="84"/>
      <c r="J83" s="84"/>
      <c r="K83" s="85"/>
      <c r="L83" s="85"/>
      <c r="M83" s="85"/>
      <c r="N83" s="85"/>
      <c r="O83" s="84"/>
      <c r="P83" s="47"/>
      <c r="Q83" s="47"/>
      <c r="R83" s="47"/>
      <c r="S83" s="47"/>
      <c r="AI83" s="38"/>
      <c r="AJ83" s="38"/>
      <c r="AK83" s="51"/>
    </row>
    <row r="84" spans="1:37" x14ac:dyDescent="0.25">
      <c r="A84" s="84"/>
      <c r="B84" s="84"/>
      <c r="C84" s="84"/>
      <c r="D84" s="84"/>
      <c r="E84" s="84"/>
      <c r="F84" s="84"/>
      <c r="G84" s="84"/>
      <c r="H84" s="83"/>
      <c r="I84" s="84"/>
      <c r="J84" s="84"/>
      <c r="K84" s="84"/>
      <c r="L84" s="84"/>
      <c r="M84" s="84"/>
      <c r="N84" s="84"/>
      <c r="O84" s="84"/>
      <c r="P84" s="47"/>
      <c r="Q84" s="47"/>
      <c r="R84" s="47"/>
      <c r="S84" s="47"/>
      <c r="AI84" s="38"/>
      <c r="AJ84" s="38"/>
      <c r="AK84" s="51"/>
    </row>
    <row r="85" spans="1:37" x14ac:dyDescent="0.25">
      <c r="A85"/>
      <c r="B85"/>
      <c r="C85" s="39"/>
      <c r="D85" s="39"/>
      <c r="H85"/>
      <c r="I85"/>
      <c r="J85"/>
      <c r="K85" s="39"/>
      <c r="L85" s="39"/>
      <c r="AI85" s="38"/>
      <c r="AJ85" s="38"/>
      <c r="AK85" s="51"/>
    </row>
    <row r="86" spans="1:37" x14ac:dyDescent="0.25">
      <c r="A86"/>
      <c r="B86"/>
      <c r="C86" s="39"/>
      <c r="D86" s="39"/>
      <c r="H86" s="81"/>
      <c r="I86"/>
      <c r="J86"/>
      <c r="K86" s="39"/>
      <c r="L86" s="39"/>
      <c r="AI86" s="38"/>
      <c r="AJ86" s="38"/>
      <c r="AK86" s="51"/>
    </row>
    <row r="87" spans="1:37" x14ac:dyDescent="0.25">
      <c r="A87"/>
      <c r="B87"/>
      <c r="C87" s="39"/>
      <c r="D87" s="39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I88"/>
      <c r="J88"/>
      <c r="K88" s="39"/>
      <c r="L88" s="39"/>
      <c r="O88" s="47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O89" s="47"/>
      <c r="AI89" s="38"/>
      <c r="AJ89" s="38"/>
      <c r="AK89" s="51"/>
    </row>
    <row r="90" spans="1:37" x14ac:dyDescent="0.25">
      <c r="A90"/>
      <c r="B90"/>
      <c r="C90" s="39"/>
      <c r="D90" s="39"/>
      <c r="H90" s="47"/>
      <c r="I90"/>
      <c r="J90"/>
      <c r="K90" s="39"/>
      <c r="L90" s="39"/>
      <c r="O90" s="47"/>
      <c r="AI90" s="38"/>
      <c r="AJ90" s="38"/>
      <c r="AK90" s="51"/>
    </row>
    <row r="91" spans="1:37" x14ac:dyDescent="0.25">
      <c r="A91"/>
      <c r="B91"/>
      <c r="C91" s="39"/>
      <c r="D91" s="39"/>
      <c r="H91" s="47"/>
      <c r="I91"/>
      <c r="J91"/>
      <c r="K91" s="39"/>
      <c r="L91" s="39"/>
      <c r="O91" s="47"/>
      <c r="AI91" s="38"/>
      <c r="AJ91" s="38"/>
      <c r="AK91" s="51"/>
    </row>
    <row r="92" spans="1:37" x14ac:dyDescent="0.25">
      <c r="A92"/>
      <c r="B92"/>
      <c r="C92" s="39"/>
      <c r="D92" s="39"/>
      <c r="H92" s="47"/>
      <c r="I92"/>
      <c r="J92"/>
      <c r="K92" s="39"/>
      <c r="L92" s="39"/>
      <c r="O92" s="47"/>
      <c r="AI92" s="38"/>
      <c r="AJ92" s="38"/>
      <c r="AK92" s="51"/>
    </row>
    <row r="93" spans="1:37" x14ac:dyDescent="0.25">
      <c r="A93"/>
      <c r="B93"/>
      <c r="C93" s="39"/>
      <c r="D93" s="39"/>
      <c r="H93" s="47"/>
      <c r="I93"/>
      <c r="J93"/>
      <c r="K93" s="39"/>
      <c r="L93" s="39"/>
      <c r="O93" s="47"/>
      <c r="AI93" s="38"/>
      <c r="AJ93" s="38"/>
      <c r="AK93" s="51"/>
    </row>
    <row r="94" spans="1:37" x14ac:dyDescent="0.25">
      <c r="A94"/>
      <c r="B94"/>
      <c r="C94" s="39"/>
      <c r="D94" s="39"/>
      <c r="H94" s="47"/>
      <c r="I94"/>
      <c r="J94"/>
      <c r="K94" s="39"/>
      <c r="L94" s="39"/>
      <c r="O94" s="47"/>
      <c r="AI94" s="38"/>
      <c r="AJ94" s="38"/>
      <c r="AK94" s="51"/>
    </row>
    <row r="95" spans="1:37" x14ac:dyDescent="0.25">
      <c r="A95"/>
      <c r="B95"/>
      <c r="C95" s="39"/>
      <c r="D95" s="39"/>
      <c r="H95" s="47"/>
      <c r="I95"/>
      <c r="J95"/>
      <c r="K95" s="39"/>
      <c r="L95" s="39"/>
      <c r="O95" s="47"/>
      <c r="AI95" s="38"/>
      <c r="AJ95" s="38"/>
      <c r="AK95" s="51"/>
    </row>
    <row r="96" spans="1:37" x14ac:dyDescent="0.25">
      <c r="A96"/>
      <c r="B96"/>
      <c r="C96" s="39"/>
      <c r="D96" s="39"/>
      <c r="H96" s="47"/>
      <c r="I96"/>
      <c r="J96"/>
      <c r="K96" s="39"/>
      <c r="L96" s="39"/>
      <c r="O96" s="47"/>
      <c r="AI96" s="38"/>
      <c r="AJ96" s="38"/>
      <c r="AK96" s="51"/>
    </row>
    <row r="97" spans="1:37" x14ac:dyDescent="0.25">
      <c r="A97"/>
      <c r="B97"/>
      <c r="C97" s="39"/>
      <c r="D97" s="39"/>
      <c r="H97" s="47"/>
      <c r="I97"/>
      <c r="J97"/>
      <c r="K97" s="39"/>
      <c r="L97" s="39"/>
      <c r="O97" s="47"/>
      <c r="AI97" s="38"/>
      <c r="AJ97" s="38"/>
      <c r="AK97" s="51"/>
    </row>
    <row r="98" spans="1:37" x14ac:dyDescent="0.25">
      <c r="A98"/>
      <c r="B98"/>
      <c r="C98" s="39"/>
      <c r="D98" s="39"/>
      <c r="H98" s="47"/>
      <c r="I98"/>
      <c r="J98"/>
      <c r="K98" s="39"/>
      <c r="L98" s="39"/>
      <c r="O98" s="47"/>
      <c r="AI98" s="38"/>
      <c r="AJ98" s="38"/>
      <c r="AK98" s="51"/>
    </row>
    <row r="99" spans="1:37" x14ac:dyDescent="0.25">
      <c r="A99"/>
      <c r="B99"/>
      <c r="C99" s="39"/>
      <c r="D99" s="39"/>
      <c r="H99" s="47"/>
      <c r="I99"/>
      <c r="J99"/>
      <c r="K99" s="39"/>
      <c r="L99" s="39"/>
      <c r="O99" s="47"/>
      <c r="AI99" s="38"/>
      <c r="AJ99" s="38"/>
      <c r="AK99" s="51"/>
    </row>
    <row r="100" spans="1:37" x14ac:dyDescent="0.25">
      <c r="A100"/>
      <c r="B100"/>
      <c r="C100" s="39"/>
      <c r="D100" s="39"/>
      <c r="H100" s="47"/>
      <c r="I100"/>
      <c r="J100"/>
      <c r="K100" s="39"/>
      <c r="L100" s="39"/>
      <c r="O100" s="47"/>
      <c r="AI100" s="38"/>
      <c r="AJ100" s="38"/>
      <c r="AK100" s="51"/>
    </row>
    <row r="101" spans="1:37" x14ac:dyDescent="0.25">
      <c r="A101"/>
      <c r="B101"/>
      <c r="C101" s="39"/>
      <c r="D101" s="39"/>
      <c r="H101" s="47"/>
      <c r="I101"/>
      <c r="J101"/>
      <c r="K101" s="39"/>
      <c r="L101" s="39"/>
      <c r="O101" s="47"/>
      <c r="AI101" s="38"/>
      <c r="AJ101" s="38"/>
      <c r="AK101" s="51"/>
    </row>
    <row r="102" spans="1:37" x14ac:dyDescent="0.25">
      <c r="A102"/>
      <c r="B102"/>
      <c r="C102" s="39"/>
      <c r="D102" s="39"/>
      <c r="H102" s="47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H103" s="47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1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1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1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1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1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1"/>
    </row>
    <row r="125" spans="1:37" x14ac:dyDescent="0.25">
      <c r="A125"/>
      <c r="B125"/>
      <c r="C125" s="39"/>
      <c r="D125" s="39"/>
      <c r="I125"/>
      <c r="J125"/>
      <c r="K125" s="39"/>
      <c r="L125" s="39"/>
      <c r="AI125" s="38"/>
      <c r="AJ125" s="38"/>
      <c r="AK125" s="51"/>
    </row>
    <row r="126" spans="1:37" x14ac:dyDescent="0.25">
      <c r="A126"/>
      <c r="B126"/>
      <c r="C126" s="39"/>
      <c r="D126" s="39"/>
      <c r="I126"/>
      <c r="J126"/>
      <c r="K126" s="39"/>
      <c r="L126" s="39"/>
      <c r="AI126" s="38"/>
      <c r="AJ126" s="38"/>
      <c r="AK126" s="51"/>
    </row>
    <row r="127" spans="1:37" x14ac:dyDescent="0.25">
      <c r="A127"/>
      <c r="B127"/>
      <c r="C127" s="39"/>
      <c r="D127" s="39"/>
      <c r="I127"/>
      <c r="J127"/>
      <c r="K127" s="39"/>
      <c r="L127" s="39"/>
      <c r="AI127" s="38"/>
      <c r="AJ127" s="38"/>
      <c r="AK127" s="51"/>
    </row>
    <row r="128" spans="1:37" x14ac:dyDescent="0.25">
      <c r="A128"/>
      <c r="B128"/>
      <c r="C128" s="39"/>
      <c r="D128" s="39"/>
      <c r="I128"/>
      <c r="J128"/>
      <c r="K128" s="39"/>
      <c r="L128" s="39"/>
      <c r="AI128" s="38"/>
      <c r="AJ128" s="38"/>
      <c r="AK128" s="51"/>
    </row>
    <row r="129" spans="1:37" x14ac:dyDescent="0.25">
      <c r="A129"/>
      <c r="B129"/>
      <c r="C129" s="39"/>
      <c r="D129" s="39"/>
      <c r="I129"/>
      <c r="J129"/>
      <c r="K129" s="39"/>
      <c r="L129" s="39"/>
      <c r="AI129" s="38"/>
      <c r="AJ129" s="38"/>
      <c r="AK129" s="51"/>
    </row>
    <row r="130" spans="1:37" x14ac:dyDescent="0.25">
      <c r="A130"/>
      <c r="B130"/>
      <c r="C130" s="39"/>
      <c r="D130" s="39"/>
      <c r="I130"/>
      <c r="J130"/>
      <c r="K130" s="39"/>
      <c r="L130" s="39"/>
      <c r="AI130" s="38"/>
      <c r="AJ130" s="38"/>
      <c r="AK130" s="51"/>
    </row>
    <row r="131" spans="1:37" x14ac:dyDescent="0.25">
      <c r="A131"/>
      <c r="B131"/>
      <c r="C131" s="39"/>
      <c r="D131" s="39"/>
      <c r="I131"/>
      <c r="J131"/>
      <c r="K131" s="39"/>
      <c r="L131" s="39"/>
      <c r="AI131" s="38"/>
      <c r="AJ131" s="38"/>
      <c r="AK131" s="51"/>
    </row>
    <row r="132" spans="1:37" x14ac:dyDescent="0.25">
      <c r="A132"/>
      <c r="B132"/>
      <c r="C132" s="39"/>
      <c r="D132" s="39"/>
      <c r="I132"/>
      <c r="J132"/>
      <c r="K132" s="39"/>
      <c r="L132" s="39"/>
      <c r="AI132" s="38"/>
      <c r="AJ132" s="38"/>
      <c r="AK132" s="51"/>
    </row>
    <row r="133" spans="1:37" x14ac:dyDescent="0.25">
      <c r="AI133" s="38"/>
      <c r="AJ133" s="38"/>
      <c r="AK133" s="51"/>
    </row>
    <row r="134" spans="1:37" x14ac:dyDescent="0.25">
      <c r="AI134" s="38"/>
      <c r="AJ134" s="38"/>
      <c r="AK134" s="51"/>
    </row>
    <row r="135" spans="1:37" x14ac:dyDescent="0.25">
      <c r="AI135" s="38"/>
      <c r="AJ135" s="38"/>
      <c r="AK135" s="51"/>
    </row>
    <row r="136" spans="1:37" x14ac:dyDescent="0.25">
      <c r="AI136" s="38"/>
      <c r="AJ136" s="38"/>
      <c r="AK136" s="51"/>
    </row>
    <row r="137" spans="1:37" x14ac:dyDescent="0.25">
      <c r="AI137" s="38"/>
      <c r="AJ137" s="38"/>
      <c r="AK137" s="51"/>
    </row>
    <row r="138" spans="1:37" x14ac:dyDescent="0.25">
      <c r="AI138" s="38"/>
      <c r="AJ138" s="38"/>
      <c r="AK138" s="51"/>
    </row>
    <row r="139" spans="1:37" x14ac:dyDescent="0.25">
      <c r="AI139" s="38"/>
      <c r="AJ139" s="38"/>
      <c r="AK139" s="51"/>
    </row>
    <row r="140" spans="1:37" x14ac:dyDescent="0.25">
      <c r="AI140" s="38"/>
      <c r="AJ140" s="38"/>
      <c r="AK140" s="51"/>
    </row>
    <row r="141" spans="1:37" x14ac:dyDescent="0.25">
      <c r="AI141" s="38"/>
      <c r="AJ141" s="38"/>
      <c r="AK141" s="51"/>
    </row>
    <row r="142" spans="1:37" x14ac:dyDescent="0.25">
      <c r="AI142" s="38"/>
      <c r="AJ142" s="38"/>
      <c r="AK142" s="51"/>
    </row>
    <row r="143" spans="1:37" x14ac:dyDescent="0.25">
      <c r="AI143" s="38"/>
      <c r="AJ143" s="38"/>
      <c r="AK143" s="51"/>
    </row>
    <row r="144" spans="1:37" x14ac:dyDescent="0.25">
      <c r="AI144" s="38"/>
      <c r="AJ144" s="38"/>
      <c r="AK144" s="51"/>
    </row>
    <row r="145" spans="35:37" x14ac:dyDescent="0.25">
      <c r="AI145" s="38"/>
      <c r="AJ145" s="38"/>
      <c r="AK145" s="51"/>
    </row>
    <row r="146" spans="35:37" x14ac:dyDescent="0.25">
      <c r="AI146" s="38"/>
      <c r="AJ146" s="38"/>
      <c r="AK146" s="51"/>
    </row>
    <row r="147" spans="35:37" x14ac:dyDescent="0.25">
      <c r="AI147" s="38"/>
      <c r="AJ147" s="38"/>
      <c r="AK147" s="51"/>
    </row>
    <row r="148" spans="35:37" x14ac:dyDescent="0.25">
      <c r="AI148" s="38"/>
      <c r="AJ148" s="38"/>
      <c r="AK148" s="51"/>
    </row>
    <row r="149" spans="35:37" x14ac:dyDescent="0.25">
      <c r="AI149" s="38"/>
      <c r="AJ149" s="38"/>
      <c r="AK149" s="51"/>
    </row>
    <row r="150" spans="35:37" x14ac:dyDescent="0.25">
      <c r="AI150" s="38"/>
      <c r="AJ150" s="38"/>
      <c r="AK150" s="51"/>
    </row>
    <row r="151" spans="35:37" x14ac:dyDescent="0.25">
      <c r="AI151" s="38"/>
      <c r="AJ151" s="38"/>
      <c r="AK151" s="51"/>
    </row>
    <row r="152" spans="35:37" x14ac:dyDescent="0.25">
      <c r="AI152" s="38"/>
      <c r="AJ152" s="38"/>
      <c r="AK152" s="51"/>
    </row>
    <row r="153" spans="35:37" x14ac:dyDescent="0.25">
      <c r="AI153" s="38"/>
      <c r="AJ153" s="38"/>
      <c r="AK153" s="51"/>
    </row>
    <row r="154" spans="35:37" x14ac:dyDescent="0.25">
      <c r="AI154" s="38"/>
      <c r="AJ154" s="38"/>
      <c r="AK154" s="51"/>
    </row>
    <row r="155" spans="35:37" x14ac:dyDescent="0.25">
      <c r="AI155" s="38"/>
      <c r="AJ155" s="38"/>
      <c r="AK155" s="51"/>
    </row>
    <row r="156" spans="35:37" x14ac:dyDescent="0.25">
      <c r="AI156" s="38"/>
      <c r="AJ156" s="38"/>
      <c r="AK156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2026-02-16T07:45:31Z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