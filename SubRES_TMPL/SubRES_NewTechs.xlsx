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MANU2025/SubRES_TMPL/"/>
    </mc:Choice>
  </mc:AlternateContent>
  <xr:revisionPtr revIDLastSave="65" documentId="13_ncr:1_{806E99E8-A010-4C95-B80D-4D66E313A9C9}" xr6:coauthVersionLast="47" xr6:coauthVersionMax="47" xr10:uidLastSave="{F8A9E415-3A99-415D-89E5-74016C8B3A06}"/>
  <bookViews>
    <workbookView xWindow="-12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70" i="7" l="1"/>
  <c r="AE71" i="7"/>
  <c r="AE72" i="7"/>
  <c r="AE73" i="7"/>
  <c r="AE74" i="7"/>
  <c r="AE75" i="7"/>
  <c r="AE76" i="7"/>
  <c r="AE77" i="7"/>
  <c r="AE78" i="7"/>
  <c r="AE79" i="7"/>
  <c r="AE80" i="7"/>
  <c r="AE81" i="7"/>
  <c r="AE82" i="7"/>
  <c r="AE83" i="7"/>
  <c r="AE84" i="7"/>
  <c r="AE85" i="7"/>
  <c r="AE86" i="7"/>
  <c r="AE87" i="7"/>
  <c r="AE88" i="7"/>
  <c r="AE89" i="7"/>
  <c r="AE90" i="7"/>
  <c r="AE91" i="7"/>
  <c r="AE92" i="7"/>
  <c r="AE93" i="7"/>
  <c r="AE94" i="7"/>
  <c r="AE95" i="7"/>
  <c r="AE96" i="7"/>
  <c r="AE97" i="7"/>
  <c r="AE98" i="7"/>
  <c r="AE99" i="7"/>
  <c r="AE100" i="7"/>
  <c r="AE101" i="7"/>
  <c r="AE102" i="7"/>
  <c r="AE103" i="7"/>
  <c r="AE104" i="7"/>
  <c r="AE105" i="7"/>
  <c r="AE106" i="7"/>
  <c r="AE107" i="7"/>
  <c r="AE108" i="7"/>
  <c r="AE109" i="7"/>
  <c r="AE110" i="7"/>
  <c r="AE111" i="7"/>
  <c r="AE112" i="7"/>
  <c r="AE113" i="7"/>
  <c r="AE114" i="7"/>
  <c r="AE115" i="7"/>
  <c r="AE116" i="7"/>
  <c r="AE69" i="7"/>
  <c r="AE22" i="7"/>
  <c r="AE23" i="7"/>
  <c r="AE24" i="7"/>
  <c r="AE25" i="7"/>
  <c r="AE26" i="7"/>
  <c r="AE27" i="7"/>
  <c r="AE28" i="7"/>
  <c r="AE29" i="7"/>
  <c r="AE30" i="7"/>
  <c r="AE31" i="7"/>
  <c r="AE32" i="7"/>
  <c r="AE33" i="7"/>
  <c r="AE34" i="7"/>
  <c r="AE35" i="7"/>
  <c r="AE36" i="7"/>
  <c r="AE37" i="7"/>
  <c r="AE38" i="7"/>
  <c r="AE39" i="7"/>
  <c r="AE40" i="7"/>
  <c r="AE41" i="7"/>
  <c r="AE42" i="7"/>
  <c r="AE43" i="7"/>
  <c r="AE44" i="7"/>
  <c r="AE45" i="7"/>
  <c r="AE46" i="7"/>
  <c r="AE47" i="7"/>
  <c r="AE48" i="7"/>
  <c r="AE49" i="7"/>
  <c r="AE50" i="7"/>
  <c r="AE51" i="7"/>
  <c r="AE52" i="7"/>
  <c r="AE53" i="7"/>
  <c r="AE54" i="7"/>
  <c r="AE55" i="7"/>
  <c r="AE56" i="7"/>
  <c r="AE57" i="7"/>
  <c r="AE58" i="7"/>
  <c r="AE59" i="7"/>
  <c r="AE60" i="7"/>
  <c r="AE61" i="7"/>
  <c r="AE62" i="7"/>
  <c r="AE63" i="7"/>
  <c r="AE64" i="7"/>
  <c r="AE65" i="7"/>
  <c r="AE66" i="7"/>
  <c r="AE67" i="7"/>
  <c r="AE68" i="7"/>
  <c r="AE21" i="7"/>
  <c r="AF70" i="7"/>
  <c r="AF71" i="7"/>
  <c r="AF72" i="7"/>
  <c r="AF73" i="7"/>
  <c r="AF74" i="7"/>
  <c r="AF75" i="7"/>
  <c r="AF76" i="7"/>
  <c r="AF77" i="7"/>
  <c r="AF78" i="7"/>
  <c r="AF79" i="7"/>
  <c r="AF80" i="7"/>
  <c r="AF81" i="7"/>
  <c r="AF82" i="7"/>
  <c r="AF83" i="7"/>
  <c r="AF84" i="7"/>
  <c r="AF85" i="7"/>
  <c r="AF86" i="7"/>
  <c r="AF87" i="7"/>
  <c r="AF88" i="7"/>
  <c r="AF89" i="7"/>
  <c r="AF90" i="7"/>
  <c r="AF91" i="7"/>
  <c r="AF92" i="7"/>
  <c r="AF93" i="7"/>
  <c r="AF94" i="7"/>
  <c r="AF95" i="7"/>
  <c r="AF96" i="7"/>
  <c r="AF97" i="7"/>
  <c r="AF98" i="7"/>
  <c r="AF99" i="7"/>
  <c r="AF100" i="7"/>
  <c r="AF101" i="7"/>
  <c r="AF102" i="7"/>
  <c r="AF103" i="7"/>
  <c r="AF104" i="7"/>
  <c r="AF105" i="7"/>
  <c r="AF106" i="7"/>
  <c r="AF107" i="7"/>
  <c r="AF108" i="7"/>
  <c r="AF109" i="7"/>
  <c r="AF110" i="7"/>
  <c r="AF111" i="7"/>
  <c r="AF112" i="7"/>
  <c r="AF113" i="7"/>
  <c r="AF114" i="7"/>
  <c r="AF115" i="7"/>
  <c r="AF116" i="7"/>
  <c r="AF69" i="7"/>
  <c r="C30" i="7"/>
  <c r="C29" i="7"/>
  <c r="C28" i="7"/>
  <c r="D20" i="7"/>
  <c r="B31" i="7"/>
  <c r="B30" i="7"/>
  <c r="B29" i="7"/>
  <c r="B28" i="7"/>
  <c r="C24" i="7"/>
  <c r="D27" i="7"/>
  <c r="D22" i="7"/>
  <c r="D21" i="7"/>
  <c r="B27" i="6"/>
  <c r="B27" i="7"/>
  <c r="B26" i="7"/>
  <c r="B25" i="7"/>
  <c r="D39" i="6"/>
  <c r="B24" i="7"/>
  <c r="D27" i="6"/>
  <c r="D26" i="6"/>
  <c r="B39" i="6"/>
  <c r="B22" i="7"/>
  <c r="D41" i="6"/>
  <c r="D40" i="6"/>
  <c r="B41" i="6"/>
  <c r="B40" i="6"/>
  <c r="C39" i="6"/>
  <c r="C38" i="6"/>
  <c r="C37" i="6"/>
  <c r="B23" i="7"/>
  <c r="B21" i="7"/>
  <c r="C23" i="7"/>
  <c r="C21" i="7"/>
  <c r="B20" i="7"/>
  <c r="B37" i="6"/>
  <c r="B38" i="6"/>
  <c r="Q27" i="6"/>
  <c r="F44" i="7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Q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V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W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Y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W17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X17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Y17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Q18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<sst xmlns="http://schemas.openxmlformats.org/spreadsheetml/2006/main" count="461" uniqueCount="196">
  <si>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</si>
  <si>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</si>
  <si>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</si>
  <si>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</si>
  <si>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</si>
  <si>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</si>
  <si>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</si>
  <si>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</si>
  <si>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</si>
  <si>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</si>
  <si>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</si>
  <si>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</si>
  <si>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</si>
  <si>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</si>
  <si>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</si>
  <si>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</si>
  <si>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</si>
  <si>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</si>
  <si>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</si>
  <si>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</si>
  <si>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</si>
  <si>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</si>
  <si>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</si>
  <si>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</si>
  <si>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</si>
  <si>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</si>
  <si>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</si>
  <si>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</si>
  <si>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</si>
  <si>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</si>
  <si>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</si>
  <si>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</si>
  <si>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</si>
  <si>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</si>
  <si>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</si>
  <si>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</si>
  <si>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</si>
  <si>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</si>
  <si>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</si>
  <si>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</si>
  <si>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</si>
  <si>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</si>
  <si>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</si>
  <si>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</si>
  <si>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</si>
  <si>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</si>
  <si>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</si>
  <si>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</si>
  <si>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</si>
  <si>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</si>
  <si>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</si>
  <si>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</si>
  <si>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</si>
  <si>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</si>
  <si>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</si>
  <si>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</si>
  <si>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</si>
  <si>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</si>
  <si>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</si>
  <si>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</si>
  <si>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</si>
  <si>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</si>
  <si>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</si>
  <si>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</si>
  <si>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</si>
  <si>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</si>
  <si>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</si>
  <si>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</si>
  <si>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</si>
  <si>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</si>
  <si>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</si>
  <si>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</si>
  <si>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</si>
  <si>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</si>
  <si>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</si>
  <si>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</si>
  <si>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</si>
  <si>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</si>
  <si>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</si>
  <si>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</si>
  <si>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</si>
  <si>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TH2022USD/GWh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</si>
  <si>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</si>
  <si>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</si>
  <si>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</si>
  <si>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</si>
  <si>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</si>
  <si>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</si>
  <si>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</si>
  <si>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</si>
  <si>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GW per annum</t>
  </si>
  <si>
    <t>Annual energy consumption devided by the product of annual hours*effficiency</t>
  </si>
  <si>
    <t>Annual operating hours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</si>
  <si>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</si>
  <si>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</si>
  <si>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</si>
  <si>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</si>
  <si>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</si>
  <si>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</si>
  <si>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</si>
  <si>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</si>
  <si>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TH$2022</t>
  </si>
  <si>
    <t>Biomass boiler</t>
  </si>
  <si>
    <t>Wind Energy</t>
  </si>
  <si>
    <t>Solar Energy</t>
  </si>
  <si>
    <t>MINWIND</t>
  </si>
  <si>
    <t>MINSOL</t>
  </si>
  <si>
    <t>Solar radation-domestic</t>
  </si>
  <si>
    <t>Wind Supply-domestic</t>
  </si>
  <si>
    <t>SOLAR</t>
  </si>
  <si>
    <r>
      <t>Share-I~UP</t>
    </r>
    <r>
      <rPr>
        <b/>
        <sz val="10"/>
        <color rgb="FFFF0000"/>
        <rFont val="Arial"/>
        <family val="2"/>
      </rPr>
      <t>~2030</t>
    </r>
  </si>
  <si>
    <t>BIOBoiler</t>
  </si>
  <si>
    <t>BIOKiln</t>
  </si>
  <si>
    <t>GASBoiler</t>
  </si>
  <si>
    <t>Gas boiler</t>
  </si>
  <si>
    <t>ELCBoiler</t>
  </si>
  <si>
    <t>Electricity boiler</t>
  </si>
  <si>
    <t>Biomass kiln</t>
  </si>
  <si>
    <t>Industrial heat supplier using electricity</t>
  </si>
  <si>
    <t>Manufacturing heat from Solar</t>
  </si>
  <si>
    <t>HEAT</t>
  </si>
  <si>
    <t>ELCHEAT</t>
  </si>
  <si>
    <t>SOLHEAT</t>
  </si>
  <si>
    <t>BIOHEAT</t>
  </si>
  <si>
    <t>Electricity based process heat</t>
  </si>
  <si>
    <t>Bio based process heat</t>
  </si>
  <si>
    <t>Solar thermal for process heat</t>
  </si>
  <si>
    <t>TH2022USD/MW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</si>
  <si>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</si>
  <si>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</si>
  <si>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</si>
  <si>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</si>
  <si>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</si>
  <si>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</si>
  <si>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</si>
  <si>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</si>
  <si>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</si>
  <si>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RNWHEAT</t>
  </si>
  <si>
    <t>DECELC</t>
  </si>
  <si>
    <t>Decenteralized Renewable electricity</t>
  </si>
  <si>
    <t>Renewable Heat Aggrigator</t>
  </si>
  <si>
    <t>MANHEAT</t>
  </si>
  <si>
    <t>CEMENTHEAT</t>
  </si>
  <si>
    <t>Attribute</t>
  </si>
  <si>
    <t>Timeslices</t>
  </si>
  <si>
    <t>Demand Commodity Name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</si>
  <si>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</si>
  <si>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</si>
  <si>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</si>
  <si>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</si>
  <si>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</si>
  <si>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</si>
  <si>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</si>
  <si>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</si>
  <si>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</si>
  <si>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</si>
  <si>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</si>
  <si>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</si>
  <si>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</si>
  <si>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</si>
  <si>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</si>
  <si>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</si>
  <si>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</si>
  <si>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</si>
  <si>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</si>
  <si>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</si>
  <si>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</si>
  <si>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</si>
  <si>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</si>
  <si>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</si>
  <si>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</si>
  <si>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</si>
  <si>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</si>
  <si>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</si>
  <si>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</si>
  <si>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</si>
  <si>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</si>
  <si>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</si>
  <si>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</si>
  <si>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</si>
  <si>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</si>
  <si>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</si>
  <si>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</si>
  <si>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</si>
  <si>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</si>
  <si>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</si>
  <si>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</si>
  <si>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</si>
  <si>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</si>
  <si>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</si>
  <si>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</si>
  <si>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</si>
  <si>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</si>
  <si>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</si>
  <si>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~TFM_INS</t>
  </si>
  <si>
    <t>FLO_FR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</si>
</sst>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\Te\x\t"/>
    <numFmt numFmtId="166" formatCode="0.000"/>
    <numFmt numFmtId="167" formatCode="0.0"/>
  </numFmts>
  <fonts count="2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10"/>
      <color rgb="FFFF0000"/>
      <name val="Arial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3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  <xf numFmtId="0" fontId="1" fillId="3" borderId="0" applyNumberFormat="0" applyBorder="0" applyAlignment="0" applyProtection="0"/>
  </cellStyleXfs>
  <cellXfs count="98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12" fillId="4" borderId="0" xfId="1"/>
    <xf numFmtId="0" fontId="14" fillId="6" borderId="0" xfId="3" applyFont="1" applyFill="1"/>
    <xf numFmtId="0" fontId="6" fillId="2" borderId="2" xfId="6" applyFont="1" applyFill="1" applyBorder="1" applyAlignment="1">
      <alignment horizontal="left" vertical="center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0" fontId="16" fillId="0" borderId="0" xfId="4" applyFont="1"/>
    <xf numFmtId="1" fontId="5" fillId="0" borderId="0" xfId="4" applyNumberFormat="1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165" fontId="5" fillId="0" borderId="0" xfId="4" applyNumberFormat="1"/>
    <xf numFmtId="2" fontId="16" fillId="0" borderId="0" xfId="4" applyNumberFormat="1" applyFon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165" fontId="16" fillId="0" borderId="0" xfId="0" applyNumberFormat="1" applyFont="1" applyAlignment="1">
      <alignment wrapText="1"/>
    </xf>
    <xf numFmtId="0" fontId="0" fillId="10" borderId="0" xfId="0" applyFill="1"/>
    <xf numFmtId="0" fontId="14" fillId="6" borderId="0" xfId="3" applyFont="1" applyFill="1" applyAlignment="1">
      <alignment wrapText="1"/>
    </xf>
    <xf numFmtId="165" fontId="4" fillId="0" borderId="0" xfId="4" applyNumberFormat="1" applyFont="1"/>
    <xf numFmtId="165" fontId="6" fillId="2" borderId="2" xfId="4" applyNumberFormat="1" applyFont="1" applyFill="1" applyBorder="1" applyAlignment="1">
      <alignment horizontal="left"/>
    </xf>
    <xf numFmtId="165" fontId="6" fillId="2" borderId="3" xfId="4" applyNumberFormat="1" applyFont="1" applyFill="1" applyBorder="1" applyAlignment="1">
      <alignment horizontal="left"/>
    </xf>
    <xf numFmtId="0" fontId="14" fillId="0" borderId="0" xfId="3" applyFont="1" applyFill="1"/>
    <xf numFmtId="165" fontId="15" fillId="3" borderId="1" xfId="20" applyNumberFormat="1" applyFont="1" applyBorder="1" applyAlignment="1">
      <alignment horizontal="left" wrapText="1"/>
    </xf>
    <xf numFmtId="0" fontId="6" fillId="2" borderId="2" xfId="6" applyFont="1" applyFill="1" applyBorder="1" applyAlignment="1">
      <alignment horizontal="center" vertical="center" wrapText="1"/>
    </xf>
    <xf numFmtId="0" fontId="6" fillId="2" borderId="2" xfId="7" applyFont="1" applyFill="1" applyBorder="1" applyAlignment="1">
      <alignment horizontal="center" vertical="center" wrapText="1"/>
    </xf>
    <xf numFmtId="0" fontId="6" fillId="2" borderId="0" xfId="6" applyFont="1" applyFill="1" applyAlignment="1">
      <alignment horizontal="center" vertical="center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0" fontId="5" fillId="7" borderId="0" xfId="4" applyFill="1"/>
    <xf numFmtId="165" fontId="16" fillId="0" borderId="0" xfId="4" applyNumberFormat="1" applyFont="1"/>
    <xf numFmtId="9" fontId="16" fillId="8" borderId="0" xfId="21" applyFont="1" applyFill="1"/>
    <xf numFmtId="0" fontId="16" fillId="8" borderId="0" xfId="4" applyFont="1" applyFill="1"/>
    <xf numFmtId="0" fontId="5" fillId="8" borderId="0" xfId="4" applyFill="1"/>
    <xf numFmtId="9" fontId="5" fillId="0" borderId="0" xfId="4" applyNumberFormat="1"/>
    <xf numFmtId="165" fontId="5" fillId="8" borderId="0" xfId="4" applyNumberFormat="1" applyFill="1"/>
    <xf numFmtId="9" fontId="0" fillId="0" borderId="0" xfId="21" applyFont="1"/>
    <xf numFmtId="0" fontId="5" fillId="10" borderId="0" xfId="4" applyFill="1"/>
    <xf numFmtId="0" fontId="6" fillId="8" borderId="0" xfId="0" applyFont="1" applyFill="1"/>
    <xf numFmtId="2" fontId="5" fillId="8" borderId="0" xfId="0" applyNumberFormat="1" applyFont="1" applyFill="1"/>
    <xf numFmtId="1" fontId="16" fillId="8" borderId="0" xfId="19" applyNumberFormat="1" applyFont="1" applyFill="1"/>
    <xf numFmtId="0" fontId="0" fillId="8" borderId="0" xfId="0" applyFill="1"/>
    <xf numFmtId="165" fontId="21" fillId="0" borderId="0" xfId="0" applyNumberFormat="1" applyFont="1"/>
    <xf numFmtId="2" fontId="21" fillId="8" borderId="0" xfId="0" applyNumberFormat="1" applyFont="1" applyFill="1"/>
    <xf numFmtId="2" fontId="21" fillId="10" borderId="0" xfId="0" applyNumberFormat="1" applyFont="1" applyFill="1"/>
    <xf numFmtId="165" fontId="5" fillId="11" borderId="0" xfId="0" applyNumberFormat="1" applyFont="1" applyFill="1"/>
    <xf numFmtId="165" fontId="0" fillId="11" borderId="0" xfId="0" applyNumberFormat="1" applyFill="1"/>
    <xf numFmtId="0" fontId="0" fillId="11" borderId="0" xfId="0" applyFill="1"/>
    <xf numFmtId="0" fontId="5" fillId="11" borderId="0" xfId="0" applyFont="1" applyFill="1"/>
    <xf numFmtId="165" fontId="0" fillId="11" borderId="0" xfId="0" applyNumberFormat="1" applyFill="1" applyAlignment="1">
      <alignment wrapText="1"/>
    </xf>
    <xf numFmtId="2" fontId="16" fillId="7" borderId="0" xfId="0" applyNumberFormat="1" applyFont="1" applyFill="1"/>
    <xf numFmtId="2" fontId="16" fillId="10" borderId="0" xfId="0" applyNumberFormat="1" applyFont="1" applyFill="1"/>
    <xf numFmtId="166" fontId="16" fillId="7" borderId="0" xfId="0" applyNumberFormat="1" applyFont="1" applyFill="1"/>
    <xf numFmtId="2" fontId="16" fillId="8" borderId="0" xfId="0" applyNumberFormat="1" applyFont="1" applyFill="1"/>
    <xf numFmtId="0" fontId="22" fillId="0" borderId="0" xfId="0" applyFont="1"/>
    <xf numFmtId="165" fontId="22" fillId="0" borderId="0" xfId="0" applyNumberFormat="1" applyFont="1"/>
    <xf numFmtId="165" fontId="22" fillId="0" borderId="0" xfId="0" applyNumberFormat="1" applyFont="1" applyAlignment="1">
      <alignment wrapText="1"/>
    </xf>
    <xf numFmtId="167" fontId="16" fillId="8" borderId="0" xfId="4" applyNumberFormat="1" applyFont="1" applyFill="1"/>
    <xf numFmtId="167" fontId="5" fillId="0" borderId="0" xfId="4" applyNumberFormat="1"/>
    <xf numFmtId="1" fontId="16" fillId="0" borderId="0" xfId="4" applyNumberFormat="1" applyFont="1"/>
    <xf numFmtId="0" fontId="16" fillId="8" borderId="0" xfId="0" applyFont="1" applyFill="1"/>
    <xf numFmtId="0" fontId="6" fillId="8" borderId="0" xfId="0" applyFont="1" applyFill="1" applyAlignment="1">
      <alignment horizontal="center"/>
    </xf>
    <xf numFmtId="0" fontId="15" fillId="8" borderId="0" xfId="18" applyFont="1" applyFill="1" applyBorder="1" applyAlignment="1">
      <alignment horizontal="left" wrapText="1"/>
    </xf>
    <xf numFmtId="0" fontId="15" fillId="8" borderId="0" xfId="18" applyFont="1" applyFill="1" applyBorder="1" applyAlignment="1">
      <alignment horizontal="center" wrapText="1"/>
    </xf>
    <xf numFmtId="165" fontId="15" fillId="8" borderId="0" xfId="20" applyNumberFormat="1" applyFont="1" applyFill="1" applyBorder="1" applyAlignment="1">
      <alignment horizontal="left" wrapText="1"/>
    </xf>
    <xf numFmtId="165" fontId="22" fillId="8" borderId="0" xfId="0" applyNumberFormat="1" applyFont="1" applyFill="1"/>
    <xf numFmtId="0" fontId="22" fillId="8" borderId="0" xfId="0" applyFont="1" applyFill="1"/>
    <xf numFmtId="165" fontId="22" fillId="12" borderId="0" xfId="20" applyNumberFormat="1" applyFont="1" applyFill="1" applyBorder="1" applyAlignment="1">
      <alignment horizontal="left" wrapText="1"/>
    </xf>
    <xf numFmtId="0" fontId="20" fillId="8" borderId="0" xfId="0" applyFont="1" applyFill="1"/>
    <xf numFmtId="0" fontId="4" fillId="0" borderId="0" xfId="0" applyFont="1"/>
    <xf numFmtId="0" fontId="6" fillId="2" borderId="2" xfId="0" applyFont="1" applyFill="1" applyBorder="1" applyAlignment="1">
      <alignment vertical="center"/>
    </xf>
    <xf numFmtId="0" fontId="15" fillId="3" borderId="2" xfId="22" applyFont="1" applyBorder="1" applyAlignment="1">
      <alignment horizontal="left" wrapText="1"/>
    </xf>
    <xf numFmtId="0" fontId="15" fillId="3" borderId="1" xfId="22" applyFont="1" applyBorder="1" applyAlignment="1">
      <alignment horizontal="left" wrapText="1"/>
    </xf>
    <xf numFmtId="0" fontId="5" fillId="0" borderId="5" xfId="4" applyBorder="1"/>
  </cellXfs>
  <cellStyles count="23">
    <cellStyle name="20% - Accent5" xfId="22" builtinId="46"/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516548</xdr:colOff>
      <xdr:row>43</xdr:row>
      <xdr:rowOff>65943</xdr:rowOff>
    </xdr:from>
    <xdr:to>
      <xdr:col>19</xdr:col>
      <xdr:colOff>3771674</xdr:colOff>
      <xdr:row>48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0E0A094-A986-4947-A6ED-3B5001361863}"/>
            </a:ext>
          </a:extLst>
        </xdr:cNvPr>
        <xdr:cNvSpPr txBox="1"/>
      </xdr:nvSpPr>
      <xdr:spPr>
        <a:xfrm>
          <a:off x="10026308" y="629910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zoomScale="96" zoomScaleNormal="96" workbookViewId="0">
      <selection activeCell="L34" sqref="L34"/>
    </sheetView>
  </sheetViews>
  <sheetFormatPr defaultRowHeight="12.75" x14ac:dyDescent="0.2"/>
  <cols>
    <col min="1" max="1" width="2" bestFit="1" customWidth="1"/>
    <col min="2" max="2" width="19.28515625" bestFit="1" customWidth="1"/>
    <col min="3" max="3" width="12.28515625" customWidth="1"/>
    <col min="4" max="4" width="18.7109375" bestFit="1" customWidth="1"/>
    <col min="5" max="5" width="7.5703125" bestFit="1" customWidth="1"/>
    <col min="6" max="6" width="18.28515625" bestFit="1" customWidth="1"/>
    <col min="7" max="7" width="8.28515625" bestFit="1" customWidth="1"/>
    <col min="8" max="8" width="17.7109375" bestFit="1" customWidth="1"/>
    <col min="9" max="9" width="8.85546875" bestFit="1" customWidth="1"/>
    <col min="10" max="10" width="13.7109375" bestFit="1" customWidth="1"/>
    <col min="11" max="11" width="13.7109375" customWidth="1"/>
    <col min="12" max="12" width="13.7109375" style="65" customWidth="1"/>
    <col min="13" max="13" width="2" customWidth="1"/>
    <col min="14" max="14" width="11.7109375" bestFit="1" customWidth="1"/>
    <col min="15" max="15" width="7.140625" customWidth="1"/>
    <col min="16" max="16" width="21.42578125" bestFit="1" customWidth="1"/>
    <col min="17" max="17" width="36.85546875" bestFit="1" customWidth="1"/>
    <col min="18" max="18" width="6.140625" customWidth="1"/>
    <col min="19" max="19" width="11.5703125" customWidth="1"/>
    <col min="20" max="20" width="12.85546875" bestFit="1" customWidth="1"/>
    <col min="21" max="21" width="13.28515625" bestFit="1" customWidth="1"/>
    <col min="22" max="22" width="19.42578125" bestFit="1" customWidth="1"/>
  </cols>
  <sheetData>
    <row r="1" spans="2:22" ht="30" x14ac:dyDescent="0.25">
      <c r="B1" s="7" t="s">
        <v>38</v>
      </c>
      <c r="C1" s="7" t="s">
        <v>70</v>
      </c>
      <c r="D1" s="7" t="s">
        <v>39</v>
      </c>
      <c r="E1" s="7" t="s">
        <v>71</v>
      </c>
      <c r="F1" s="7" t="s">
        <v>41</v>
      </c>
      <c r="G1" s="6"/>
    </row>
    <row r="2" spans="2:22" ht="15.75" x14ac:dyDescent="0.25">
      <c r="C2" s="21" t="s">
        <v>72</v>
      </c>
      <c r="D2" s="21" t="s">
        <v>73</v>
      </c>
      <c r="E2" s="18" t="s">
        <v>58</v>
      </c>
      <c r="F2" s="18" t="s">
        <v>81</v>
      </c>
      <c r="G2" s="21"/>
      <c r="N2" s="11" t="s">
        <v>7</v>
      </c>
      <c r="O2" s="11"/>
      <c r="P2" s="12"/>
      <c r="Q2" s="12"/>
      <c r="R2" s="12"/>
      <c r="S2" s="12"/>
      <c r="T2" s="12"/>
      <c r="U2" s="12"/>
      <c r="V2" s="12"/>
    </row>
    <row r="3" spans="2:22" ht="15.75" x14ac:dyDescent="0.25">
      <c r="C3" s="21" t="s">
        <v>63</v>
      </c>
      <c r="D3" s="21" t="s">
        <v>74</v>
      </c>
      <c r="E3" s="18" t="s">
        <v>58</v>
      </c>
      <c r="F3" s="18" t="s">
        <v>81</v>
      </c>
      <c r="G3" s="21"/>
      <c r="N3" s="13" t="s">
        <v>8</v>
      </c>
      <c r="O3" s="14" t="s">
        <v>42</v>
      </c>
      <c r="P3" s="13" t="s">
        <v>6</v>
      </c>
      <c r="Q3" s="13" t="s">
        <v>9</v>
      </c>
      <c r="R3" s="13" t="s">
        <v>10</v>
      </c>
      <c r="S3" s="13" t="s">
        <v>11</v>
      </c>
      <c r="T3" s="13" t="s">
        <v>12</v>
      </c>
      <c r="U3" s="13" t="s">
        <v>13</v>
      </c>
      <c r="V3" s="13" t="s">
        <v>14</v>
      </c>
    </row>
    <row r="4" spans="2:22" ht="24" thickBot="1" x14ac:dyDescent="0.3">
      <c r="C4" s="21" t="s">
        <v>61</v>
      </c>
      <c r="D4" s="21" t="s">
        <v>62</v>
      </c>
      <c r="E4" s="18" t="s">
        <v>58</v>
      </c>
      <c r="F4" s="18" t="s">
        <v>81</v>
      </c>
      <c r="G4" s="21"/>
      <c r="N4" s="20" t="s">
        <v>43</v>
      </c>
      <c r="O4" s="20" t="s">
        <v>44</v>
      </c>
      <c r="P4" s="20" t="s">
        <v>23</v>
      </c>
      <c r="Q4" s="20" t="s">
        <v>24</v>
      </c>
      <c r="R4" s="20" t="s">
        <v>10</v>
      </c>
      <c r="S4" s="20" t="s">
        <v>45</v>
      </c>
      <c r="T4" s="20" t="s">
        <v>46</v>
      </c>
      <c r="U4" s="20" t="s">
        <v>25</v>
      </c>
      <c r="V4" s="20" t="s">
        <v>26</v>
      </c>
    </row>
    <row r="5" spans="2:22" ht="15.75" x14ac:dyDescent="0.25">
      <c r="C5" s="21" t="s">
        <v>60</v>
      </c>
      <c r="D5" s="21" t="s">
        <v>75</v>
      </c>
      <c r="E5" s="18" t="s">
        <v>58</v>
      </c>
      <c r="F5" s="18" t="s">
        <v>81</v>
      </c>
      <c r="G5" s="21"/>
      <c r="N5" s="19" t="s">
        <v>59</v>
      </c>
      <c r="O5" s="19"/>
      <c r="P5" s="19" t="s">
        <v>68</v>
      </c>
      <c r="Q5" s="19" t="s">
        <v>62</v>
      </c>
      <c r="R5" s="19" t="s">
        <v>58</v>
      </c>
      <c r="S5" s="19"/>
      <c r="T5" s="19"/>
      <c r="U5" s="19"/>
      <c r="V5" s="19"/>
    </row>
    <row r="6" spans="2:22" ht="15.75" x14ac:dyDescent="0.25">
      <c r="C6" s="21"/>
      <c r="D6" s="21"/>
      <c r="E6" s="18"/>
      <c r="F6" s="18"/>
      <c r="G6" s="21"/>
      <c r="N6" s="19" t="s">
        <v>59</v>
      </c>
      <c r="O6" s="19"/>
      <c r="P6" s="19" t="s">
        <v>67</v>
      </c>
      <c r="Q6" s="19" t="s">
        <v>93</v>
      </c>
      <c r="R6" s="19" t="s">
        <v>58</v>
      </c>
      <c r="S6" s="19"/>
      <c r="T6" s="19"/>
      <c r="U6" s="19"/>
      <c r="V6" s="19"/>
    </row>
    <row r="7" spans="2:22" ht="15.75" x14ac:dyDescent="0.25">
      <c r="C7" s="21"/>
      <c r="D7" s="21"/>
      <c r="E7" s="18"/>
      <c r="F7" s="18"/>
      <c r="G7" s="21"/>
      <c r="N7" s="19"/>
      <c r="O7" s="19"/>
      <c r="P7" s="19"/>
      <c r="Q7" s="19"/>
      <c r="R7" s="19"/>
      <c r="S7" s="19"/>
      <c r="T7" s="19"/>
      <c r="U7" s="19"/>
      <c r="V7" s="19"/>
    </row>
    <row r="8" spans="2:22" x14ac:dyDescent="0.2">
      <c r="B8" s="21"/>
      <c r="C8" s="21"/>
      <c r="D8" s="21"/>
      <c r="E8" s="21"/>
      <c r="F8" s="21"/>
      <c r="G8" s="21"/>
      <c r="N8" s="66" t="s">
        <v>59</v>
      </c>
      <c r="O8" s="66"/>
      <c r="P8" s="66" t="s">
        <v>72</v>
      </c>
      <c r="Q8" s="66" t="s">
        <v>103</v>
      </c>
      <c r="R8" s="66" t="s">
        <v>58</v>
      </c>
      <c r="S8" s="19"/>
      <c r="T8" s="19"/>
      <c r="U8" s="19"/>
      <c r="V8" s="19"/>
    </row>
    <row r="9" spans="2:22" x14ac:dyDescent="0.2">
      <c r="B9" s="21"/>
      <c r="C9" s="21"/>
      <c r="D9" s="21"/>
      <c r="E9" s="21"/>
      <c r="F9" s="21"/>
      <c r="G9" s="21"/>
      <c r="H9" s="21"/>
      <c r="N9" s="66" t="s">
        <v>59</v>
      </c>
      <c r="O9" s="66"/>
      <c r="P9" s="66" t="s">
        <v>109</v>
      </c>
      <c r="Q9" s="66" t="s">
        <v>104</v>
      </c>
      <c r="R9" s="66" t="s">
        <v>58</v>
      </c>
      <c r="S9" s="19"/>
      <c r="T9" s="19"/>
      <c r="U9" s="19"/>
      <c r="V9" s="19"/>
    </row>
    <row r="10" spans="2:22" x14ac:dyDescent="0.2">
      <c r="B10" s="21"/>
      <c r="C10" s="21"/>
      <c r="D10" s="21"/>
      <c r="E10" s="21"/>
      <c r="F10" s="21"/>
      <c r="G10" s="21"/>
      <c r="H10" s="21"/>
      <c r="N10" s="21"/>
      <c r="O10" s="21"/>
      <c r="P10" s="21"/>
      <c r="Q10" s="21"/>
      <c r="R10" s="21"/>
      <c r="S10" s="19"/>
      <c r="T10" s="19"/>
      <c r="U10" s="19"/>
      <c r="V10" s="19"/>
    </row>
    <row r="11" spans="2:22" s="21" customFormat="1" x14ac:dyDescent="0.2">
      <c r="L11" s="84"/>
      <c r="N11"/>
      <c r="O11"/>
      <c r="P11"/>
      <c r="Q11"/>
      <c r="R11"/>
      <c r="S11" s="19"/>
      <c r="T11" s="19"/>
      <c r="U11" s="19"/>
      <c r="V11" s="19"/>
    </row>
    <row r="12" spans="2:22" s="21" customFormat="1" x14ac:dyDescent="0.2">
      <c r="L12" s="84"/>
      <c r="N12"/>
      <c r="O12"/>
      <c r="P12"/>
      <c r="Q12"/>
      <c r="R12"/>
      <c r="S12" s="19"/>
      <c r="T12" s="12"/>
      <c r="U12" s="12"/>
      <c r="V12" s="12"/>
    </row>
    <row r="13" spans="2:22" s="21" customFormat="1" x14ac:dyDescent="0.2">
      <c r="B13"/>
      <c r="C13"/>
      <c r="D13"/>
      <c r="E13"/>
      <c r="F13"/>
      <c r="G13"/>
      <c r="H13"/>
      <c r="L13" s="84"/>
      <c r="N13"/>
      <c r="O13"/>
      <c r="P13"/>
      <c r="Q13"/>
      <c r="R13"/>
      <c r="S13"/>
      <c r="T13"/>
      <c r="U13"/>
      <c r="V13"/>
    </row>
    <row r="14" spans="2:22" s="21" customFormat="1" x14ac:dyDescent="0.2">
      <c r="B14"/>
      <c r="C14"/>
      <c r="D14"/>
      <c r="E14"/>
      <c r="F14"/>
      <c r="G14"/>
      <c r="H14"/>
      <c r="L14" s="84"/>
      <c r="N14" s="12"/>
      <c r="O14" s="15"/>
      <c r="P14" s="12"/>
      <c r="Q14" s="12"/>
      <c r="R14" s="12"/>
      <c r="S14" s="12"/>
      <c r="T14" s="12"/>
      <c r="U14" s="12"/>
      <c r="V14" s="12"/>
    </row>
    <row r="15" spans="2:22" x14ac:dyDescent="0.2">
      <c r="N15" s="12"/>
      <c r="O15" s="15"/>
      <c r="P15" s="12"/>
      <c r="Q15" s="12"/>
      <c r="R15" s="12"/>
      <c r="S15" s="12"/>
      <c r="T15" s="12"/>
      <c r="U15" s="12"/>
      <c r="V15" s="12"/>
    </row>
    <row r="16" spans="2:22" x14ac:dyDescent="0.2">
      <c r="N16" s="12"/>
      <c r="O16" s="15"/>
      <c r="P16" s="12"/>
      <c r="Q16" s="12"/>
      <c r="R16" s="12"/>
      <c r="S16" s="12"/>
      <c r="T16" s="12"/>
      <c r="U16" s="12"/>
      <c r="V16" s="12"/>
    </row>
    <row r="17" spans="2:22" x14ac:dyDescent="0.2">
      <c r="N17" s="12"/>
      <c r="O17" s="15"/>
      <c r="P17" s="12"/>
      <c r="Q17" s="12"/>
      <c r="R17" s="12"/>
      <c r="S17" s="12"/>
      <c r="T17" s="12"/>
      <c r="U17" s="12"/>
      <c r="V17" s="12"/>
    </row>
    <row r="18" spans="2:22" x14ac:dyDescent="0.2">
      <c r="N18" s="12"/>
      <c r="O18" s="15"/>
      <c r="P18" s="12"/>
      <c r="Q18" s="12"/>
      <c r="R18" s="12"/>
      <c r="S18" s="12"/>
      <c r="T18" s="12"/>
      <c r="U18" s="12"/>
      <c r="V18" s="12"/>
    </row>
    <row r="19" spans="2:22" x14ac:dyDescent="0.2">
      <c r="N19" s="12"/>
      <c r="O19" s="15"/>
      <c r="P19" s="12"/>
      <c r="Q19" s="12"/>
      <c r="R19" s="12"/>
      <c r="S19" s="12"/>
      <c r="T19" s="12"/>
      <c r="U19" s="12"/>
      <c r="V19" s="12"/>
    </row>
    <row r="20" spans="2:22" x14ac:dyDescent="0.2">
      <c r="N20" s="12"/>
      <c r="O20" s="15"/>
      <c r="P20" s="12"/>
      <c r="Q20" s="12"/>
      <c r="R20" s="12"/>
      <c r="S20" s="12"/>
      <c r="T20" s="12"/>
      <c r="U20" s="12"/>
      <c r="V20" s="12"/>
    </row>
    <row r="21" spans="2:22" x14ac:dyDescent="0.2">
      <c r="N21" s="1"/>
      <c r="P21" s="1"/>
      <c r="Q21" s="1"/>
      <c r="R21" s="1"/>
      <c r="S21" s="1"/>
      <c r="T21" s="1"/>
      <c r="U21" s="1"/>
      <c r="V21" s="1"/>
    </row>
    <row r="22" spans="2:22" x14ac:dyDescent="0.2">
      <c r="F22" s="2" t="s">
        <v>0</v>
      </c>
      <c r="G22" s="2"/>
      <c r="N22" s="11" t="s">
        <v>17</v>
      </c>
      <c r="O22" s="11"/>
      <c r="P22" s="15"/>
      <c r="Q22" s="15"/>
      <c r="R22" s="15"/>
      <c r="S22" s="15"/>
      <c r="T22" s="15"/>
      <c r="U22" s="15"/>
      <c r="V22" s="15"/>
    </row>
    <row r="23" spans="2:22" x14ac:dyDescent="0.2">
      <c r="B23" s="22" t="s">
        <v>1</v>
      </c>
      <c r="C23" s="23" t="s">
        <v>3</v>
      </c>
      <c r="D23" s="22" t="s">
        <v>4</v>
      </c>
      <c r="E23" s="22" t="s">
        <v>55</v>
      </c>
      <c r="F23" s="22" t="s">
        <v>16</v>
      </c>
      <c r="G23" s="22" t="s">
        <v>34</v>
      </c>
      <c r="H23" s="24" t="s">
        <v>47</v>
      </c>
      <c r="I23" s="24" t="s">
        <v>76</v>
      </c>
      <c r="J23" s="24" t="s">
        <v>77</v>
      </c>
      <c r="K23" s="24" t="s">
        <v>56</v>
      </c>
      <c r="L23" s="85"/>
      <c r="N23" s="13" t="s">
        <v>15</v>
      </c>
      <c r="O23" s="14" t="s">
        <v>42</v>
      </c>
      <c r="P23" s="13" t="s">
        <v>1</v>
      </c>
      <c r="Q23" s="13" t="s">
        <v>2</v>
      </c>
      <c r="R23" s="13" t="s">
        <v>18</v>
      </c>
      <c r="S23" s="13" t="s">
        <v>19</v>
      </c>
      <c r="T23" s="13" t="s">
        <v>20</v>
      </c>
      <c r="U23" s="13" t="s">
        <v>21</v>
      </c>
      <c r="V23" s="13" t="s">
        <v>22</v>
      </c>
    </row>
    <row r="24" spans="2:22" ht="23.25" thickBot="1" x14ac:dyDescent="0.25">
      <c r="B24" s="25" t="s">
        <v>48</v>
      </c>
      <c r="C24" s="25" t="s">
        <v>32</v>
      </c>
      <c r="D24" s="25" t="s">
        <v>33</v>
      </c>
      <c r="E24" s="25" t="s">
        <v>54</v>
      </c>
      <c r="F24" s="25" t="s">
        <v>35</v>
      </c>
      <c r="G24" s="25" t="s">
        <v>49</v>
      </c>
      <c r="H24" s="25" t="s">
        <v>57</v>
      </c>
      <c r="I24" s="25" t="s">
        <v>78</v>
      </c>
      <c r="J24" s="25" t="s">
        <v>79</v>
      </c>
      <c r="K24" s="26" t="s">
        <v>80</v>
      </c>
      <c r="L24" s="86"/>
      <c r="N24" s="20" t="s">
        <v>50</v>
      </c>
      <c r="O24" s="20" t="s">
        <v>44</v>
      </c>
      <c r="P24" s="20" t="s">
        <v>27</v>
      </c>
      <c r="Q24" s="20" t="s">
        <v>28</v>
      </c>
      <c r="R24" s="20" t="s">
        <v>29</v>
      </c>
      <c r="S24" s="20" t="s">
        <v>30</v>
      </c>
      <c r="T24" s="20" t="s">
        <v>51</v>
      </c>
      <c r="U24" s="20" t="s">
        <v>52</v>
      </c>
      <c r="V24" s="20" t="s">
        <v>31</v>
      </c>
    </row>
    <row r="25" spans="2:22" ht="23.25" thickBot="1" x14ac:dyDescent="0.25">
      <c r="B25" s="25" t="s">
        <v>53</v>
      </c>
      <c r="C25" s="27"/>
      <c r="D25" s="27"/>
      <c r="E25" s="27"/>
      <c r="F25" s="27"/>
      <c r="G25" s="27"/>
      <c r="H25" s="27" t="s">
        <v>54</v>
      </c>
      <c r="I25" s="27" t="s">
        <v>81</v>
      </c>
      <c r="J25" s="27" t="s">
        <v>58</v>
      </c>
      <c r="K25" s="28"/>
      <c r="L25" s="87"/>
      <c r="N25" s="20" t="s">
        <v>82</v>
      </c>
      <c r="O25" s="29" t="s">
        <v>132</v>
      </c>
      <c r="P25" s="29"/>
      <c r="Q25" s="29"/>
      <c r="R25" s="29"/>
      <c r="S25" s="29"/>
      <c r="T25" s="29"/>
      <c r="U25" s="29"/>
      <c r="V25" s="29"/>
    </row>
    <row r="26" spans="2:22" x14ac:dyDescent="0.2">
      <c r="B26" s="12" t="str">
        <f>P26</f>
        <v>MINBIO</v>
      </c>
      <c r="C26" s="15"/>
      <c r="D26" s="12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31">
        <v>14.00399887968009</v>
      </c>
      <c r="J26" s="32"/>
      <c r="K26" s="33">
        <v>8.76</v>
      </c>
      <c r="L26" s="63"/>
      <c r="N26" s="78" t="s">
        <v>64</v>
      </c>
      <c r="O26" s="78"/>
      <c r="P26" s="79" t="s">
        <v>130</v>
      </c>
      <c r="Q26" s="80" t="str">
        <f>"Domestic Supply of "&amp;$D$4&amp;" "</f>
        <v xml:space="preserve">Domestic Supply of Biomass </v>
      </c>
      <c r="R26" s="78" t="s">
        <v>58</v>
      </c>
      <c r="S26" s="78"/>
      <c r="T26" s="78"/>
    </row>
    <row r="27" spans="2:22" x14ac:dyDescent="0.2">
      <c r="B27" s="12" t="str">
        <f>P27</f>
        <v>MINGAS</v>
      </c>
      <c r="C27" s="15"/>
      <c r="D27" s="12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35">
        <v>27.575997793920177</v>
      </c>
      <c r="J27" s="36"/>
      <c r="K27" s="33">
        <v>8.76</v>
      </c>
      <c r="L27" s="63"/>
      <c r="N27" s="78" t="s">
        <v>64</v>
      </c>
      <c r="O27" s="78"/>
      <c r="P27" s="79" t="s">
        <v>131</v>
      </c>
      <c r="Q27" s="80" t="str">
        <f>"Domestic Supply of "&amp;$D$5&amp;" "</f>
        <v xml:space="preserve">Domestic Supply of Ngas </v>
      </c>
      <c r="R27" s="78" t="s">
        <v>58</v>
      </c>
      <c r="S27" s="78"/>
      <c r="T27" s="78"/>
    </row>
    <row r="28" spans="2:22" x14ac:dyDescent="0.2">
      <c r="B28" s="12"/>
      <c r="C28" s="15"/>
      <c r="D28" s="12"/>
      <c r="E28" s="1"/>
      <c r="F28" s="1"/>
      <c r="G28" s="1"/>
      <c r="H28" s="1"/>
      <c r="I28" s="35"/>
      <c r="J28" s="36"/>
      <c r="K28" s="33"/>
      <c r="L28" s="63"/>
      <c r="N28" s="78"/>
      <c r="O28" s="78"/>
      <c r="P28" s="79"/>
      <c r="Q28" s="80"/>
      <c r="R28" s="78"/>
      <c r="S28" s="78"/>
      <c r="T28" s="78"/>
    </row>
    <row r="29" spans="2:22" x14ac:dyDescent="0.2">
      <c r="B29" s="12"/>
      <c r="C29" s="15"/>
      <c r="D29" s="12"/>
      <c r="E29" s="1"/>
      <c r="F29" s="1"/>
      <c r="G29" s="1"/>
      <c r="H29" s="1"/>
      <c r="I29" s="35"/>
      <c r="J29" s="36"/>
      <c r="K29" s="33"/>
      <c r="L29" s="63"/>
      <c r="N29" s="78"/>
      <c r="O29" s="78"/>
      <c r="P29" s="79"/>
      <c r="Q29" s="80"/>
      <c r="R29" s="78"/>
      <c r="S29" s="78"/>
      <c r="T29" s="78"/>
    </row>
    <row r="30" spans="2:22" x14ac:dyDescent="0.2">
      <c r="B30" s="12"/>
      <c r="C30" s="15"/>
      <c r="D30" s="12"/>
      <c r="E30" s="1"/>
      <c r="F30" s="1"/>
      <c r="G30" s="1"/>
      <c r="H30" s="1"/>
      <c r="I30" s="35"/>
      <c r="J30" s="36"/>
      <c r="K30" s="33"/>
      <c r="L30" s="63"/>
      <c r="N30" s="78"/>
      <c r="O30" s="78"/>
      <c r="P30" s="79"/>
      <c r="Q30" s="80"/>
      <c r="R30" s="78"/>
      <c r="S30" s="78"/>
      <c r="T30" s="78"/>
    </row>
    <row r="31" spans="2:22" x14ac:dyDescent="0.2">
      <c r="B31" s="12"/>
      <c r="C31" s="15"/>
      <c r="D31" s="12"/>
      <c r="E31" s="1"/>
      <c r="F31" s="1"/>
      <c r="G31" s="1"/>
      <c r="H31" s="1"/>
      <c r="I31" s="35"/>
      <c r="J31" s="36"/>
      <c r="K31" s="33"/>
      <c r="L31" s="63"/>
      <c r="N31" s="78"/>
      <c r="O31" s="78"/>
      <c r="P31" s="79"/>
      <c r="Q31" s="80"/>
      <c r="R31" s="78"/>
      <c r="S31" s="78"/>
      <c r="T31" s="78"/>
    </row>
    <row r="32" spans="2:22" x14ac:dyDescent="0.2">
      <c r="B32" s="12"/>
      <c r="C32" s="15"/>
      <c r="D32" s="12"/>
      <c r="E32" s="1"/>
      <c r="F32" s="1"/>
      <c r="G32" s="1"/>
      <c r="H32" s="1"/>
      <c r="I32" s="35"/>
      <c r="J32" s="36"/>
      <c r="K32" s="33"/>
      <c r="L32" s="63"/>
      <c r="N32" s="78"/>
      <c r="O32" s="78"/>
      <c r="P32" s="79"/>
      <c r="Q32" s="80"/>
      <c r="R32" s="78"/>
      <c r="S32" s="78"/>
      <c r="T32" s="78"/>
    </row>
    <row r="33" spans="2:20" x14ac:dyDescent="0.2">
      <c r="B33" s="12"/>
      <c r="C33" s="15"/>
      <c r="D33" s="12"/>
      <c r="E33" s="1"/>
      <c r="F33" s="1"/>
      <c r="G33" s="1"/>
      <c r="H33" s="1"/>
      <c r="I33" s="35"/>
      <c r="J33" s="36"/>
      <c r="K33" s="33"/>
      <c r="L33" s="63"/>
      <c r="N33" s="78"/>
      <c r="O33" s="78"/>
      <c r="P33" s="79"/>
      <c r="Q33" s="80"/>
      <c r="R33" s="78"/>
      <c r="S33" s="78"/>
      <c r="T33" s="78"/>
    </row>
    <row r="34" spans="2:20" x14ac:dyDescent="0.2">
      <c r="B34" s="12"/>
      <c r="C34" s="15"/>
      <c r="D34" s="12"/>
      <c r="E34" s="1"/>
      <c r="F34" s="1"/>
      <c r="G34" s="1"/>
      <c r="H34" s="1"/>
      <c r="I34" s="35"/>
      <c r="J34" s="36"/>
      <c r="K34" s="33"/>
      <c r="L34" s="63"/>
      <c r="N34" s="78"/>
      <c r="O34" s="78"/>
      <c r="P34" s="79"/>
      <c r="Q34" s="80"/>
      <c r="R34" s="78"/>
      <c r="S34" s="78"/>
      <c r="T34" s="78"/>
    </row>
    <row r="35" spans="2:20" x14ac:dyDescent="0.2">
      <c r="B35" s="12"/>
      <c r="C35" s="15"/>
      <c r="D35" s="12"/>
      <c r="E35" s="1"/>
      <c r="F35" s="1"/>
      <c r="G35" s="1"/>
      <c r="H35" s="1"/>
      <c r="I35" s="35"/>
      <c r="J35" s="36"/>
      <c r="K35" s="33"/>
      <c r="L35" s="63"/>
      <c r="N35" s="78"/>
      <c r="O35" s="78"/>
      <c r="P35" s="79"/>
      <c r="Q35" s="80"/>
      <c r="R35" s="78"/>
      <c r="S35" s="78"/>
      <c r="T35" s="78"/>
    </row>
    <row r="36" spans="2:20" x14ac:dyDescent="0.2">
      <c r="B36" s="12"/>
      <c r="C36" s="15"/>
      <c r="D36" s="12"/>
      <c r="E36" s="1"/>
      <c r="F36" s="1"/>
      <c r="G36" s="1"/>
      <c r="H36" s="1"/>
      <c r="I36" s="35"/>
      <c r="J36" s="36"/>
      <c r="K36" s="33"/>
      <c r="L36" s="63"/>
      <c r="N36" s="78"/>
      <c r="O36" s="78"/>
      <c r="P36" s="79"/>
      <c r="Q36" s="80"/>
      <c r="R36" s="78"/>
      <c r="S36" s="78"/>
      <c r="T36" s="78"/>
    </row>
    <row r="37" spans="2:20" x14ac:dyDescent="0.2">
      <c r="B37" s="19" t="str">
        <f t="shared" ref="B37:B38" si="0">P37</f>
        <v>WNDTRBN</v>
      </c>
      <c r="C37" s="19" t="str">
        <f>P8</f>
        <v>WIND</v>
      </c>
      <c r="D37" s="19" t="s">
        <v>69</v>
      </c>
      <c r="E37" s="21">
        <v>2030</v>
      </c>
      <c r="F37" s="21">
        <v>0.34</v>
      </c>
      <c r="G37" s="21">
        <v>0.97</v>
      </c>
      <c r="H37" s="21">
        <v>25</v>
      </c>
      <c r="I37" s="74">
        <v>9.1191599999999994E-3</v>
      </c>
      <c r="J37" s="36"/>
      <c r="K37" s="75">
        <v>8.76</v>
      </c>
      <c r="L37" s="63"/>
      <c r="N37" s="21" t="s">
        <v>69</v>
      </c>
      <c r="O37" s="21"/>
      <c r="P37" s="19" t="s">
        <v>94</v>
      </c>
      <c r="Q37" s="37" t="s">
        <v>97</v>
      </c>
      <c r="R37" s="21" t="s">
        <v>58</v>
      </c>
      <c r="S37" s="21"/>
      <c r="T37" s="21" t="s">
        <v>89</v>
      </c>
    </row>
    <row r="38" spans="2:20" x14ac:dyDescent="0.2">
      <c r="B38" s="19" t="str">
        <f t="shared" si="0"/>
        <v>SOLPV</v>
      </c>
      <c r="C38" s="19" t="str">
        <f>P9</f>
        <v>SOLAR</v>
      </c>
      <c r="D38" s="19" t="s">
        <v>69</v>
      </c>
      <c r="E38" s="21">
        <v>2030</v>
      </c>
      <c r="F38" s="21">
        <v>0.17</v>
      </c>
      <c r="G38" s="21">
        <v>0.99</v>
      </c>
      <c r="H38" s="21">
        <v>25</v>
      </c>
      <c r="I38" s="74">
        <v>6.0531600000000001E-3</v>
      </c>
      <c r="J38" s="36"/>
      <c r="K38" s="75">
        <v>8.76</v>
      </c>
      <c r="L38" s="63"/>
      <c r="N38" s="21" t="s">
        <v>69</v>
      </c>
      <c r="O38" s="21"/>
      <c r="P38" s="19" t="s">
        <v>95</v>
      </c>
      <c r="Q38" s="37" t="s">
        <v>96</v>
      </c>
      <c r="R38" s="21" t="s">
        <v>58</v>
      </c>
      <c r="S38" s="21"/>
      <c r="T38" s="21" t="s">
        <v>89</v>
      </c>
    </row>
    <row r="39" spans="2:20" x14ac:dyDescent="0.2">
      <c r="B39" s="19" t="str">
        <f>P41</f>
        <v>CSP</v>
      </c>
      <c r="C39" s="19" t="str">
        <f>P9</f>
        <v>SOLAR</v>
      </c>
      <c r="D39" s="19" t="str">
        <f>DemTechs_INDF!S7</f>
        <v>SOLHEAT</v>
      </c>
      <c r="E39" s="21">
        <v>2030</v>
      </c>
      <c r="F39" s="21">
        <v>0.41</v>
      </c>
      <c r="G39" s="21">
        <v>0.92</v>
      </c>
      <c r="H39" s="21">
        <v>25</v>
      </c>
      <c r="I39" s="76">
        <v>3.2210519999999999E-2</v>
      </c>
      <c r="J39" s="36"/>
      <c r="K39" s="75">
        <v>8.76</v>
      </c>
      <c r="L39" s="63"/>
      <c r="N39" s="21" t="s">
        <v>64</v>
      </c>
      <c r="O39" s="21"/>
      <c r="P39" s="19" t="s">
        <v>105</v>
      </c>
      <c r="Q39" s="37" t="s">
        <v>108</v>
      </c>
      <c r="R39" s="21" t="s">
        <v>58</v>
      </c>
      <c r="S39" s="21"/>
      <c r="T39" s="21"/>
    </row>
    <row r="40" spans="2:20" x14ac:dyDescent="0.2">
      <c r="B40" s="19" t="str">
        <f>P39</f>
        <v>MINWIND</v>
      </c>
      <c r="C40" s="19"/>
      <c r="D40" s="19" t="str">
        <f>P8</f>
        <v>WIND</v>
      </c>
      <c r="E40" s="21">
        <v>2030</v>
      </c>
      <c r="F40" s="21">
        <v>1</v>
      </c>
      <c r="G40" s="21">
        <v>1</v>
      </c>
      <c r="H40" s="21">
        <v>50</v>
      </c>
      <c r="I40" s="77">
        <v>0</v>
      </c>
      <c r="J40" s="64"/>
      <c r="K40" s="75">
        <v>8.76</v>
      </c>
      <c r="L40" s="63"/>
      <c r="N40" s="21" t="s">
        <v>64</v>
      </c>
      <c r="O40" s="21"/>
      <c r="P40" s="19" t="s">
        <v>106</v>
      </c>
      <c r="Q40" s="37" t="s">
        <v>107</v>
      </c>
      <c r="R40" s="21" t="s">
        <v>58</v>
      </c>
      <c r="S40" s="21"/>
      <c r="T40" s="21"/>
    </row>
    <row r="41" spans="2:20" x14ac:dyDescent="0.2">
      <c r="B41" s="19" t="str">
        <f>P40</f>
        <v>MINSOL</v>
      </c>
      <c r="C41" s="19"/>
      <c r="D41" s="19" t="str">
        <f>P9</f>
        <v>SOLAR</v>
      </c>
      <c r="E41" s="21">
        <v>2030</v>
      </c>
      <c r="F41" s="21">
        <v>1</v>
      </c>
      <c r="G41" s="21">
        <v>1</v>
      </c>
      <c r="H41" s="21">
        <v>50</v>
      </c>
      <c r="I41" s="77">
        <v>0</v>
      </c>
      <c r="J41" s="64"/>
      <c r="K41" s="75">
        <v>8.76</v>
      </c>
      <c r="L41" s="63"/>
      <c r="N41" s="21" t="s">
        <v>120</v>
      </c>
      <c r="O41" s="21"/>
      <c r="P41" s="19" t="s">
        <v>65</v>
      </c>
      <c r="Q41" s="37" t="s">
        <v>119</v>
      </c>
      <c r="R41" s="21" t="s">
        <v>58</v>
      </c>
      <c r="S41" s="21"/>
      <c r="T41" s="21" t="s">
        <v>89</v>
      </c>
    </row>
    <row r="42" spans="2:20" x14ac:dyDescent="0.2">
      <c r="B42" s="12"/>
      <c r="C42" s="12"/>
      <c r="D42" s="12"/>
      <c r="E42" s="1"/>
      <c r="F42" s="1"/>
      <c r="G42" s="1"/>
      <c r="I42" s="67"/>
      <c r="J42" s="64"/>
      <c r="K42" s="68"/>
      <c r="L42" s="63"/>
      <c r="N42" s="72"/>
      <c r="O42" s="71"/>
      <c r="P42" s="69"/>
      <c r="Q42" s="73"/>
    </row>
    <row r="43" spans="2:20" x14ac:dyDescent="0.2">
      <c r="B43" s="12"/>
      <c r="C43" s="15"/>
      <c r="D43" s="12"/>
      <c r="E43" s="1"/>
      <c r="F43" s="1"/>
      <c r="G43" s="1"/>
      <c r="I43" s="67"/>
      <c r="J43" s="64"/>
      <c r="K43" s="68"/>
      <c r="L43" s="63"/>
      <c r="N43" s="71"/>
      <c r="O43" s="71"/>
      <c r="P43" s="70"/>
      <c r="Q43" s="73"/>
    </row>
    <row r="44" spans="2:20" x14ac:dyDescent="0.2">
      <c r="B44" s="12"/>
      <c r="C44" s="15"/>
      <c r="D44" s="12"/>
      <c r="E44" s="1"/>
      <c r="F44" s="1"/>
      <c r="G44" s="1"/>
      <c r="I44" s="67"/>
      <c r="J44" s="64"/>
      <c r="K44" s="68"/>
      <c r="L44" s="63"/>
      <c r="N44" s="71"/>
      <c r="O44" s="71"/>
      <c r="P44" s="70"/>
      <c r="Q44" s="73"/>
    </row>
    <row r="45" spans="2:20" x14ac:dyDescent="0.2">
      <c r="B45" s="12"/>
      <c r="C45" s="15"/>
      <c r="D45" s="12"/>
      <c r="E45" s="1"/>
      <c r="F45" s="1"/>
      <c r="G45" s="1"/>
      <c r="I45" s="67"/>
      <c r="J45" s="64"/>
      <c r="K45" s="68"/>
      <c r="L45" s="63"/>
      <c r="N45" s="71"/>
      <c r="O45" s="71"/>
      <c r="P45" s="70"/>
      <c r="Q45" s="73"/>
    </row>
    <row r="46" spans="2:20" x14ac:dyDescent="0.2">
      <c r="B46" s="12"/>
      <c r="C46" s="1"/>
      <c r="D46" s="12"/>
      <c r="E46" s="1"/>
      <c r="F46" s="1"/>
      <c r="G46" s="1"/>
      <c r="I46" s="67"/>
      <c r="J46" s="64"/>
      <c r="K46" s="68"/>
      <c r="L46" s="63"/>
      <c r="N46" s="71"/>
      <c r="O46" s="71"/>
      <c r="P46" s="70"/>
      <c r="Q46" s="73"/>
    </row>
    <row r="47" spans="2:20" x14ac:dyDescent="0.2">
      <c r="B47" s="8"/>
      <c r="C47" s="12"/>
      <c r="D47" s="12"/>
      <c r="E47" s="1"/>
      <c r="F47" s="1"/>
      <c r="G47" s="1"/>
      <c r="I47" s="67"/>
      <c r="J47" s="64"/>
      <c r="K47" s="68"/>
      <c r="L47" s="63"/>
      <c r="N47" s="71"/>
      <c r="O47" s="71"/>
      <c r="P47" s="70"/>
      <c r="Q47" s="73"/>
    </row>
    <row r="48" spans="2:20" x14ac:dyDescent="0.2">
      <c r="B48" s="8"/>
      <c r="C48" s="12"/>
      <c r="D48" s="12"/>
      <c r="E48" s="1"/>
      <c r="F48" s="1"/>
      <c r="G48" s="1"/>
      <c r="I48" s="67"/>
      <c r="J48" s="64"/>
      <c r="K48" s="68"/>
      <c r="L48" s="63"/>
      <c r="N48" s="71"/>
      <c r="O48" s="71"/>
      <c r="P48" s="70"/>
      <c r="Q48" s="73"/>
    </row>
    <row r="49" spans="2:17" x14ac:dyDescent="0.2">
      <c r="B49" s="8"/>
      <c r="C49" s="12"/>
      <c r="D49" s="12"/>
      <c r="E49" s="1"/>
      <c r="F49" s="1"/>
      <c r="G49" s="1"/>
      <c r="I49" s="67"/>
      <c r="J49" s="64"/>
      <c r="K49" s="68"/>
      <c r="L49" s="63"/>
      <c r="N49" s="71"/>
      <c r="O49" s="71"/>
      <c r="P49" s="70"/>
      <c r="Q49" s="73"/>
    </row>
    <row r="50" spans="2:17" x14ac:dyDescent="0.2">
      <c r="B50" s="8"/>
      <c r="C50" s="1"/>
      <c r="D50" s="12"/>
      <c r="E50" s="1"/>
      <c r="F50" s="1"/>
      <c r="G50" s="1"/>
      <c r="I50" s="67"/>
      <c r="J50" s="64"/>
      <c r="K50" s="68"/>
      <c r="L50" s="63"/>
      <c r="N50" s="71"/>
      <c r="O50" s="71"/>
      <c r="P50" s="70"/>
      <c r="Q50" s="73"/>
    </row>
    <row r="51" spans="2:17" x14ac:dyDescent="0.2">
      <c r="B51" s="12"/>
      <c r="C51" s="1"/>
      <c r="D51" s="12"/>
      <c r="E51" s="1"/>
      <c r="F51" s="1"/>
      <c r="G51" s="1"/>
      <c r="I51" s="63"/>
      <c r="J51" s="64"/>
      <c r="K51" s="63"/>
      <c r="L51" s="63"/>
      <c r="N51" s="71"/>
      <c r="O51" s="71"/>
      <c r="P51" s="70"/>
      <c r="Q51" s="73"/>
    </row>
    <row r="52" spans="2:17" x14ac:dyDescent="0.2">
      <c r="B52" s="12"/>
      <c r="C52" s="1"/>
      <c r="D52" s="12"/>
      <c r="E52" s="1"/>
      <c r="F52" s="1"/>
      <c r="G52" s="1"/>
      <c r="I52" s="63"/>
      <c r="J52" s="64"/>
      <c r="K52" s="63"/>
      <c r="L52" s="63"/>
      <c r="N52" s="71"/>
      <c r="O52" s="71"/>
      <c r="P52" s="70"/>
      <c r="Q52" s="73"/>
    </row>
    <row r="53" spans="2:17" x14ac:dyDescent="0.2">
      <c r="B53" s="12"/>
      <c r="D53" s="12"/>
      <c r="E53" s="1"/>
      <c r="F53" s="1"/>
      <c r="G53" s="1"/>
      <c r="I53" s="63"/>
      <c r="J53" s="64"/>
      <c r="K53" s="63"/>
      <c r="L53" s="63"/>
      <c r="P53" s="15"/>
      <c r="Q53" s="34"/>
    </row>
    <row r="54" spans="2:17" x14ac:dyDescent="0.2">
      <c r="I54" s="63"/>
      <c r="J54" s="64"/>
      <c r="K54" s="63"/>
      <c r="L54" s="63"/>
      <c r="P54" s="15"/>
      <c r="Q54" s="34"/>
    </row>
    <row r="55" spans="2:17" x14ac:dyDescent="0.2">
      <c r="B55" s="30"/>
      <c r="C55" s="1" t="s">
        <v>83</v>
      </c>
      <c r="I55" s="63"/>
      <c r="J55" s="64"/>
      <c r="K55" s="63"/>
      <c r="L55" s="63"/>
    </row>
    <row r="56" spans="2:17" x14ac:dyDescent="0.2">
      <c r="B56" s="38"/>
      <c r="C56" s="1" t="s">
        <v>84</v>
      </c>
      <c r="I56" s="63"/>
      <c r="J56" s="64"/>
      <c r="K56" s="63"/>
      <c r="L56" s="63"/>
    </row>
    <row r="57" spans="2:17" x14ac:dyDescent="0.2">
      <c r="I57" s="63"/>
      <c r="J57" s="64"/>
      <c r="K57" s="63"/>
      <c r="L57" s="63"/>
    </row>
    <row r="58" spans="2:17" x14ac:dyDescent="0.2">
      <c r="I58" s="65"/>
      <c r="J58" s="65"/>
      <c r="K58" s="65"/>
    </row>
    <row r="65" spans="1:23" s="1" customFormat="1" x14ac:dyDescent="0.2">
      <c r="A65"/>
      <c r="B65"/>
      <c r="C65"/>
      <c r="D65"/>
      <c r="E65"/>
      <c r="F65"/>
      <c r="G65"/>
      <c r="H65"/>
      <c r="I65"/>
      <c r="J65"/>
      <c r="K65"/>
      <c r="L65" s="65"/>
      <c r="M65"/>
      <c r="N65"/>
      <c r="O65"/>
      <c r="P65"/>
      <c r="Q65"/>
      <c r="R65"/>
      <c r="S65"/>
      <c r="T65"/>
      <c r="U65"/>
      <c r="V65"/>
      <c r="W65"/>
    </row>
    <row r="66" spans="1:23" x14ac:dyDescent="0.2">
      <c r="W66" s="1"/>
    </row>
    <row r="67" spans="1:23" x14ac:dyDescent="0.2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B1:AG144"/>
  <sheetViews>
    <sheetView tabSelected="1" topLeftCell="Q2" zoomScale="118" zoomScaleNormal="118" workbookViewId="0">
      <selection activeCell="Y135" sqref="Y135"/>
    </sheetView>
  </sheetViews>
  <sheetFormatPr defaultColWidth="8.85546875" defaultRowHeight="12.75" x14ac:dyDescent="0.2"/>
  <cols>
    <col min="1" max="1" width="3" style="8" customWidth="1"/>
    <col min="2" max="2" width="12.140625" style="8" bestFit="1" customWidth="1"/>
    <col min="3" max="3" width="25.85546875" style="8" customWidth="1"/>
    <col min="4" max="4" width="13.85546875" style="8" bestFit="1" customWidth="1"/>
    <col min="5" max="5" width="20" style="8" bestFit="1" customWidth="1"/>
    <col min="6" max="6" width="13.140625" style="8" bestFit="1" customWidth="1"/>
    <col min="7" max="7" width="9.5703125" style="8" bestFit="1" customWidth="1"/>
    <col min="8" max="8" width="7.85546875" style="8" bestFit="1" customWidth="1"/>
    <col min="9" max="9" width="8.140625" style="8" customWidth="1"/>
    <col min="10" max="10" width="12.85546875" style="8" bestFit="1" customWidth="1"/>
    <col min="11" max="14" width="8.140625" style="8" customWidth="1"/>
    <col min="15" max="16" width="8.140625" style="57" customWidth="1"/>
    <col min="17" max="17" width="12.7109375" style="8" bestFit="1" customWidth="1"/>
    <col min="18" max="18" width="7.140625" style="8" customWidth="1"/>
    <col min="19" max="19" width="11.42578125" style="8" bestFit="1" customWidth="1"/>
    <col min="20" max="20" width="63.85546875" style="8" bestFit="1" customWidth="1"/>
    <col min="21" max="21" width="8.28515625" style="8" bestFit="1" customWidth="1"/>
    <col min="22" max="22" width="11.7109375" style="8" customWidth="1"/>
    <col min="23" max="23" width="13.42578125" style="8" customWidth="1"/>
    <col min="24" max="24" width="13.85546875" style="8" customWidth="1"/>
    <col min="25" max="25" width="8.42578125" style="8" customWidth="1"/>
    <col min="26" max="16384" width="8.85546875" style="8"/>
  </cols>
  <sheetData>
    <row r="1" spans="2:26" ht="15" x14ac:dyDescent="0.25">
      <c r="B1" s="3" t="s">
        <v>38</v>
      </c>
      <c r="C1" s="3" t="s">
        <v>39</v>
      </c>
      <c r="D1" s="3" t="s">
        <v>40</v>
      </c>
      <c r="E1" s="3" t="s">
        <v>71</v>
      </c>
      <c r="F1" s="3" t="s">
        <v>41</v>
      </c>
      <c r="G1" s="3"/>
      <c r="H1" s="3" t="s">
        <v>85</v>
      </c>
    </row>
    <row r="2" spans="2:26" ht="31.5" x14ac:dyDescent="0.25">
      <c r="B2" s="4" t="s">
        <v>99</v>
      </c>
      <c r="C2" s="4" t="s">
        <v>100</v>
      </c>
      <c r="D2" s="39" t="str">
        <f>"Demand Technologies"</f>
        <v>Demand Technologies</v>
      </c>
      <c r="E2" s="4" t="s">
        <v>58</v>
      </c>
      <c r="F2" s="4" t="s">
        <v>101</v>
      </c>
      <c r="G2" s="4"/>
      <c r="H2" s="4" t="s">
        <v>98</v>
      </c>
      <c r="Q2" s="40" t="s">
        <v>7</v>
      </c>
      <c r="R2" s="40"/>
      <c r="S2" s="16"/>
      <c r="T2" s="16"/>
      <c r="U2" s="16"/>
      <c r="V2" s="16"/>
      <c r="W2" s="16"/>
      <c r="X2" s="16"/>
      <c r="Y2" s="16"/>
    </row>
    <row r="3" spans="2:26" x14ac:dyDescent="0.2">
      <c r="Q3" s="41" t="s">
        <v>8</v>
      </c>
      <c r="R3" s="42" t="s">
        <v>42</v>
      </c>
      <c r="S3" s="41" t="s">
        <v>6</v>
      </c>
      <c r="T3" s="41" t="s">
        <v>9</v>
      </c>
      <c r="U3" s="41" t="s">
        <v>10</v>
      </c>
      <c r="V3" s="41" t="s">
        <v>11</v>
      </c>
      <c r="W3" s="41" t="s">
        <v>12</v>
      </c>
      <c r="X3" s="41" t="s">
        <v>13</v>
      </c>
      <c r="Y3" s="41" t="s">
        <v>14</v>
      </c>
    </row>
    <row r="4" spans="2:26" ht="24" thickBot="1" x14ac:dyDescent="0.3">
      <c r="B4" s="43"/>
      <c r="C4" s="43"/>
      <c r="D4" s="43"/>
      <c r="E4" s="43"/>
      <c r="F4" s="43"/>
      <c r="G4" s="43"/>
      <c r="Q4" s="44" t="s">
        <v>43</v>
      </c>
      <c r="R4" s="44" t="s">
        <v>44</v>
      </c>
      <c r="S4" s="44" t="s">
        <v>23</v>
      </c>
      <c r="T4" s="44" t="s">
        <v>24</v>
      </c>
      <c r="U4" s="44" t="s">
        <v>10</v>
      </c>
      <c r="V4" s="44" t="s">
        <v>45</v>
      </c>
      <c r="W4" s="44" t="s">
        <v>46</v>
      </c>
      <c r="X4" s="44" t="s">
        <v>25</v>
      </c>
      <c r="Y4" s="44" t="s">
        <v>26</v>
      </c>
    </row>
    <row r="5" spans="2:26" ht="15.75" x14ac:dyDescent="0.25">
      <c r="B5" s="43"/>
      <c r="C5" s="43"/>
      <c r="D5" s="43"/>
      <c r="E5" s="43"/>
      <c r="F5" s="43"/>
      <c r="G5" s="43"/>
      <c r="Q5" s="89" t="s">
        <v>59</v>
      </c>
      <c r="R5" s="89"/>
      <c r="S5" s="89" t="s">
        <v>121</v>
      </c>
      <c r="T5" s="89" t="s">
        <v>124</v>
      </c>
      <c r="U5" s="89" t="s">
        <v>58</v>
      </c>
      <c r="V5" s="88"/>
      <c r="W5" s="88"/>
      <c r="X5" s="88"/>
      <c r="Y5" s="88"/>
      <c r="Z5" s="57"/>
    </row>
    <row r="6" spans="2:26" ht="15.75" x14ac:dyDescent="0.25">
      <c r="B6" s="43"/>
      <c r="C6" s="43"/>
      <c r="D6" s="43"/>
      <c r="E6" s="43"/>
      <c r="F6" s="43"/>
      <c r="G6" s="43"/>
      <c r="Q6" s="89" t="s">
        <v>59</v>
      </c>
      <c r="R6" s="89"/>
      <c r="S6" s="89" t="s">
        <v>123</v>
      </c>
      <c r="T6" s="89" t="s">
        <v>125</v>
      </c>
      <c r="U6" s="89" t="s">
        <v>58</v>
      </c>
      <c r="V6" s="59"/>
      <c r="W6" s="59"/>
      <c r="X6" s="59"/>
      <c r="Y6" s="59"/>
      <c r="Z6" s="57"/>
    </row>
    <row r="7" spans="2:26" ht="15.75" x14ac:dyDescent="0.25">
      <c r="B7" s="43"/>
      <c r="C7" s="43"/>
      <c r="D7" s="43"/>
      <c r="E7" s="43"/>
      <c r="F7" s="43"/>
      <c r="G7" s="43"/>
      <c r="Q7" s="90" t="s">
        <v>59</v>
      </c>
      <c r="R7" s="90"/>
      <c r="S7" s="90" t="s">
        <v>122</v>
      </c>
      <c r="T7" s="90" t="s">
        <v>126</v>
      </c>
      <c r="U7" s="90" t="s">
        <v>58</v>
      </c>
      <c r="V7" s="59"/>
      <c r="W7" s="59"/>
      <c r="X7" s="59"/>
      <c r="Y7" s="59"/>
      <c r="Z7" s="57"/>
    </row>
    <row r="8" spans="2:26" ht="15.75" x14ac:dyDescent="0.25">
      <c r="B8" s="43"/>
      <c r="C8" s="43"/>
      <c r="D8" s="43"/>
      <c r="E8" s="43"/>
      <c r="F8" s="43"/>
      <c r="G8" s="43"/>
      <c r="Q8" s="90"/>
      <c r="R8" s="90"/>
      <c r="S8" s="90"/>
      <c r="T8" s="90"/>
      <c r="U8" s="90"/>
      <c r="V8" s="59"/>
      <c r="W8" s="59"/>
      <c r="X8" s="59"/>
      <c r="Y8" s="59"/>
      <c r="Z8" s="57"/>
    </row>
    <row r="9" spans="2:26" ht="15.75" x14ac:dyDescent="0.25">
      <c r="B9" s="43"/>
      <c r="C9" s="43"/>
      <c r="D9" s="43"/>
      <c r="E9" s="43"/>
      <c r="F9" s="43"/>
      <c r="G9" s="43"/>
      <c r="Q9" s="90"/>
      <c r="R9" s="90"/>
      <c r="S9" s="90"/>
      <c r="T9" s="90"/>
      <c r="U9" s="90"/>
      <c r="V9" s="59"/>
      <c r="W9" s="59"/>
      <c r="X9" s="59"/>
      <c r="Y9" s="59"/>
      <c r="Z9" s="57"/>
    </row>
    <row r="10" spans="2:26" ht="15.75" x14ac:dyDescent="0.25">
      <c r="B10" s="43"/>
      <c r="C10" s="43"/>
      <c r="D10" s="43"/>
      <c r="E10" s="43"/>
      <c r="F10" s="43"/>
      <c r="G10" s="43"/>
      <c r="Q10" s="90" t="s">
        <v>69</v>
      </c>
      <c r="R10" s="90"/>
      <c r="S10" s="90" t="s">
        <v>138</v>
      </c>
      <c r="T10" s="90" t="s">
        <v>139</v>
      </c>
      <c r="U10" s="90" t="s">
        <v>58</v>
      </c>
      <c r="V10" s="59"/>
      <c r="W10" s="59"/>
      <c r="X10" s="59"/>
      <c r="Y10" s="59"/>
      <c r="Z10" s="57"/>
    </row>
    <row r="11" spans="2:26" x14ac:dyDescent="0.2">
      <c r="Q11" s="91" t="s">
        <v>59</v>
      </c>
      <c r="R11" s="91"/>
      <c r="S11" s="91" t="s">
        <v>72</v>
      </c>
      <c r="T11" s="91" t="s">
        <v>103</v>
      </c>
      <c r="U11" s="91" t="s">
        <v>58</v>
      </c>
      <c r="V11" s="91"/>
      <c r="W11" s="91"/>
      <c r="X11" s="91"/>
      <c r="Y11" s="91"/>
      <c r="Z11" s="57"/>
    </row>
    <row r="12" spans="2:26" x14ac:dyDescent="0.2">
      <c r="Q12" s="91" t="s">
        <v>59</v>
      </c>
      <c r="R12" s="91"/>
      <c r="S12" s="91" t="s">
        <v>109</v>
      </c>
      <c r="T12" s="91" t="s">
        <v>104</v>
      </c>
      <c r="U12" s="91" t="s">
        <v>58</v>
      </c>
      <c r="V12" s="91"/>
      <c r="W12" s="91"/>
      <c r="X12" s="91"/>
      <c r="Y12" s="91"/>
    </row>
    <row r="13" spans="2:26" x14ac:dyDescent="0.2">
      <c r="Q13" s="16"/>
      <c r="R13" s="16"/>
      <c r="S13" s="16"/>
      <c r="T13" s="16"/>
      <c r="U13" s="16"/>
      <c r="V13" s="16"/>
      <c r="W13" s="16"/>
      <c r="X13" s="16"/>
      <c r="Y13" s="16"/>
    </row>
    <row r="14" spans="2:26" x14ac:dyDescent="0.2">
      <c r="Q14" s="16"/>
      <c r="R14" s="16"/>
      <c r="S14" s="16"/>
      <c r="T14" s="16"/>
      <c r="U14" s="16"/>
      <c r="V14" s="16"/>
      <c r="W14" s="16"/>
      <c r="X14" s="16"/>
      <c r="Y14" s="16"/>
    </row>
    <row r="16" spans="2:26" x14ac:dyDescent="0.2">
      <c r="D16" s="2" t="s">
        <v>0</v>
      </c>
      <c r="E16" s="2"/>
      <c r="F16" s="2"/>
      <c r="H16" s="2"/>
      <c r="I16" s="9"/>
      <c r="J16" s="9"/>
      <c r="K16" s="9"/>
      <c r="L16" s="9"/>
      <c r="M16" s="9"/>
      <c r="N16" s="9"/>
      <c r="Q16" s="40" t="s">
        <v>17</v>
      </c>
      <c r="R16" s="40"/>
      <c r="S16" s="16"/>
      <c r="T16" s="16"/>
      <c r="U16" s="16"/>
      <c r="V16" s="16"/>
      <c r="W16" s="16"/>
      <c r="X16" s="16"/>
      <c r="Y16" s="16"/>
    </row>
    <row r="17" spans="2:33" ht="24" customHeight="1" x14ac:dyDescent="0.2">
      <c r="B17" s="5" t="s">
        <v>1</v>
      </c>
      <c r="C17" s="5" t="s">
        <v>3</v>
      </c>
      <c r="D17" s="5" t="s">
        <v>4</v>
      </c>
      <c r="E17" s="45" t="s">
        <v>55</v>
      </c>
      <c r="F17" s="46" t="s">
        <v>110</v>
      </c>
      <c r="G17" s="45" t="s">
        <v>16</v>
      </c>
      <c r="H17" s="45" t="s">
        <v>34</v>
      </c>
      <c r="I17" s="45" t="s">
        <v>47</v>
      </c>
      <c r="J17" s="45" t="s">
        <v>36</v>
      </c>
      <c r="K17" s="47" t="s">
        <v>5</v>
      </c>
      <c r="L17" s="47" t="s">
        <v>128</v>
      </c>
      <c r="M17" s="45" t="s">
        <v>56</v>
      </c>
      <c r="N17" s="47" t="s">
        <v>133</v>
      </c>
      <c r="Q17" s="41" t="s">
        <v>15</v>
      </c>
      <c r="R17" s="42" t="s">
        <v>42</v>
      </c>
      <c r="S17" s="41" t="s">
        <v>1</v>
      </c>
      <c r="T17" s="41" t="s">
        <v>2</v>
      </c>
      <c r="U17" s="41" t="s">
        <v>18</v>
      </c>
      <c r="V17" s="41" t="s">
        <v>19</v>
      </c>
      <c r="W17" s="41" t="s">
        <v>20</v>
      </c>
      <c r="X17" s="41" t="s">
        <v>21</v>
      </c>
      <c r="Y17" s="41" t="s">
        <v>22</v>
      </c>
      <c r="AD17" s="93" t="s">
        <v>194</v>
      </c>
      <c r="AE17"/>
      <c r="AF17" s="93"/>
      <c r="AG17" s="1"/>
    </row>
    <row r="18" spans="2:33" ht="45.75" thickBot="1" x14ac:dyDescent="0.25">
      <c r="B18" s="48" t="s">
        <v>48</v>
      </c>
      <c r="C18" s="48" t="s">
        <v>32</v>
      </c>
      <c r="D18" s="48" t="s">
        <v>33</v>
      </c>
      <c r="E18" s="48" t="s">
        <v>54</v>
      </c>
      <c r="F18" s="48" t="s">
        <v>86</v>
      </c>
      <c r="G18" s="48" t="s">
        <v>35</v>
      </c>
      <c r="H18" s="49" t="s">
        <v>49</v>
      </c>
      <c r="I18" s="48" t="s">
        <v>57</v>
      </c>
      <c r="J18" s="48" t="s">
        <v>87</v>
      </c>
      <c r="K18" s="49" t="s">
        <v>37</v>
      </c>
      <c r="L18" s="49" t="s">
        <v>129</v>
      </c>
      <c r="M18" s="49" t="s">
        <v>80</v>
      </c>
      <c r="N18" s="49" t="s">
        <v>134</v>
      </c>
      <c r="Q18" s="44" t="s">
        <v>50</v>
      </c>
      <c r="R18" s="44" t="s">
        <v>44</v>
      </c>
      <c r="S18" s="44" t="s">
        <v>27</v>
      </c>
      <c r="T18" s="44" t="s">
        <v>28</v>
      </c>
      <c r="U18" s="44" t="s">
        <v>29</v>
      </c>
      <c r="V18" s="44" t="s">
        <v>30</v>
      </c>
      <c r="W18" s="44" t="s">
        <v>51</v>
      </c>
      <c r="X18" s="44" t="s">
        <v>52</v>
      </c>
      <c r="Y18" s="44" t="s">
        <v>31</v>
      </c>
      <c r="AD18" s="94" t="s">
        <v>143</v>
      </c>
      <c r="AE18" s="94" t="s">
        <v>6</v>
      </c>
      <c r="AF18" s="94" t="s">
        <v>144</v>
      </c>
      <c r="AG18" s="94">
        <v>2022</v>
      </c>
    </row>
    <row r="19" spans="2:33" ht="34.5" thickBot="1" x14ac:dyDescent="0.25">
      <c r="B19" s="50" t="s">
        <v>53</v>
      </c>
      <c r="C19" s="50"/>
      <c r="D19" s="50"/>
      <c r="E19" s="51"/>
      <c r="F19" s="51"/>
      <c r="G19" s="51"/>
      <c r="H19" s="52"/>
      <c r="I19" s="51" t="s">
        <v>54</v>
      </c>
      <c r="J19" s="51" t="s">
        <v>127</v>
      </c>
      <c r="K19" s="52"/>
      <c r="L19" s="51" t="s">
        <v>81</v>
      </c>
      <c r="M19" s="52"/>
      <c r="N19" s="52" t="s">
        <v>135</v>
      </c>
      <c r="Q19" s="44" t="s">
        <v>82</v>
      </c>
      <c r="R19" s="44"/>
      <c r="S19" s="44"/>
      <c r="T19" s="44"/>
      <c r="U19" s="44"/>
      <c r="V19" s="44"/>
      <c r="W19" s="44"/>
      <c r="X19" s="44"/>
      <c r="Y19" s="44"/>
      <c r="AD19" s="95" t="s">
        <v>82</v>
      </c>
      <c r="AE19" s="95" t="s">
        <v>145</v>
      </c>
      <c r="AF19" s="95"/>
      <c r="AG19" s="95"/>
    </row>
    <row r="20" spans="2:33" ht="13.5" thickBot="1" x14ac:dyDescent="0.25">
      <c r="B20" s="9" t="str">
        <f>S20</f>
        <v>Furnace</v>
      </c>
      <c r="C20" s="9" t="s">
        <v>69</v>
      </c>
      <c r="D20" s="54" t="str">
        <f>S5</f>
        <v>ELCHEAT</v>
      </c>
      <c r="E20" s="83">
        <v>2030</v>
      </c>
      <c r="F20" s="55"/>
      <c r="G20" s="56">
        <v>1</v>
      </c>
      <c r="H20" s="56">
        <v>1</v>
      </c>
      <c r="I20" s="56">
        <v>30</v>
      </c>
      <c r="J20" s="56">
        <v>1515</v>
      </c>
      <c r="K20" s="56"/>
      <c r="L20" s="57"/>
      <c r="M20" s="57">
        <v>8.76</v>
      </c>
      <c r="N20" s="57"/>
      <c r="Q20" s="72" t="s">
        <v>120</v>
      </c>
      <c r="R20" s="71"/>
      <c r="S20" s="69" t="s">
        <v>66</v>
      </c>
      <c r="T20" s="73" t="s">
        <v>118</v>
      </c>
      <c r="U20" s="9" t="s">
        <v>58</v>
      </c>
      <c r="V20" s="9" t="s">
        <v>88</v>
      </c>
      <c r="W20" s="92" t="s">
        <v>89</v>
      </c>
      <c r="X20" s="56"/>
      <c r="Y20" s="56"/>
      <c r="AD20" s="96" t="s">
        <v>53</v>
      </c>
      <c r="AE20" s="96"/>
      <c r="AF20" s="96"/>
      <c r="AG20" s="96"/>
    </row>
    <row r="21" spans="2:33" x14ac:dyDescent="0.2">
      <c r="B21" s="9" t="str">
        <f>S$21</f>
        <v>BIOBoiler</v>
      </c>
      <c r="C21" s="9" t="str">
        <f>PRI_Sector_Fuels!P5</f>
        <v>MANBIOMIN</v>
      </c>
      <c r="D21" s="54" t="str">
        <f>S6</f>
        <v>BIOHEAT</v>
      </c>
      <c r="E21" s="83">
        <v>2030</v>
      </c>
      <c r="F21" s="55"/>
      <c r="G21" s="56">
        <v>0.8</v>
      </c>
      <c r="H21" s="56">
        <v>1</v>
      </c>
      <c r="I21" s="56">
        <v>20</v>
      </c>
      <c r="J21" s="56">
        <v>1515</v>
      </c>
      <c r="K21" s="56"/>
      <c r="L21" s="57"/>
      <c r="M21" s="57">
        <v>8.76</v>
      </c>
      <c r="N21" s="57"/>
      <c r="Q21" s="71" t="s">
        <v>120</v>
      </c>
      <c r="R21" s="71"/>
      <c r="S21" s="70" t="s">
        <v>111</v>
      </c>
      <c r="T21" s="73" t="s">
        <v>102</v>
      </c>
      <c r="U21" s="9" t="s">
        <v>58</v>
      </c>
      <c r="V21" s="9" t="s">
        <v>88</v>
      </c>
      <c r="W21" s="92" t="s">
        <v>89</v>
      </c>
      <c r="X21" s="56"/>
      <c r="Y21" s="56"/>
      <c r="AD21" s="1" t="s">
        <v>195</v>
      </c>
      <c r="AE21" s="12" t="str">
        <f>S$26</f>
        <v>WNDTRBN</v>
      </c>
      <c r="AF21" s="8" t="s">
        <v>146</v>
      </c>
      <c r="AG21" s="75">
        <v>4.7712418300653592E-3</v>
      </c>
    </row>
    <row r="22" spans="2:33" x14ac:dyDescent="0.2">
      <c r="B22" s="9" t="str">
        <f>S24</f>
        <v>ELCBoiler</v>
      </c>
      <c r="C22" s="9" t="s">
        <v>69</v>
      </c>
      <c r="D22" s="54" t="str">
        <f>S5</f>
        <v>ELCHEAT</v>
      </c>
      <c r="E22" s="83">
        <v>2030</v>
      </c>
      <c r="F22" s="55"/>
      <c r="G22" s="56">
        <v>0.8</v>
      </c>
      <c r="H22" s="56">
        <v>1</v>
      </c>
      <c r="I22" s="56">
        <v>20</v>
      </c>
      <c r="J22" s="56">
        <v>1515</v>
      </c>
      <c r="K22" s="56"/>
      <c r="L22" s="57"/>
      <c r="M22" s="57">
        <v>8.76</v>
      </c>
      <c r="N22" s="57"/>
      <c r="Q22" s="71" t="s">
        <v>120</v>
      </c>
      <c r="R22" s="71"/>
      <c r="S22" s="70" t="s">
        <v>112</v>
      </c>
      <c r="T22" s="73" t="s">
        <v>117</v>
      </c>
      <c r="U22" s="9" t="s">
        <v>58</v>
      </c>
      <c r="V22" s="9" t="s">
        <v>88</v>
      </c>
      <c r="W22" s="92" t="s">
        <v>89</v>
      </c>
      <c r="X22" s="56"/>
      <c r="Y22" s="56"/>
      <c r="AD22" s="1" t="s">
        <v>195</v>
      </c>
      <c r="AE22" s="12" t="str">
        <f t="shared" ref="AE22:AE68" si="0">S$26</f>
        <v>WNDTRBN</v>
      </c>
      <c r="AF22" s="97" t="s">
        <v>147</v>
      </c>
      <c r="AG22" s="75">
        <v>4.5751633986928107E-3</v>
      </c>
    </row>
    <row r="23" spans="2:33" s="56" customFormat="1" x14ac:dyDescent="0.2">
      <c r="B23" s="9" t="str">
        <f>S22</f>
        <v>BIOKiln</v>
      </c>
      <c r="C23" s="9" t="str">
        <f>PRI_Sector_Fuels!P5</f>
        <v>MANBIOMIN</v>
      </c>
      <c r="D23" s="54" t="s">
        <v>142</v>
      </c>
      <c r="E23" s="83">
        <v>2030</v>
      </c>
      <c r="F23" s="55"/>
      <c r="G23" s="56">
        <v>0.55000000000000004</v>
      </c>
      <c r="H23" s="56">
        <v>1</v>
      </c>
      <c r="I23" s="56">
        <v>20</v>
      </c>
      <c r="J23" s="56">
        <v>1515</v>
      </c>
      <c r="M23" s="57">
        <v>8.76</v>
      </c>
      <c r="Q23" s="71" t="s">
        <v>120</v>
      </c>
      <c r="R23" s="71"/>
      <c r="S23" s="70" t="s">
        <v>113</v>
      </c>
      <c r="T23" s="73" t="s">
        <v>114</v>
      </c>
      <c r="U23" s="9" t="s">
        <v>58</v>
      </c>
      <c r="V23" s="9" t="s">
        <v>88</v>
      </c>
      <c r="W23" s="92" t="s">
        <v>89</v>
      </c>
      <c r="AD23" s="1" t="s">
        <v>195</v>
      </c>
      <c r="AE23" s="12" t="str">
        <f t="shared" si="0"/>
        <v>WNDTRBN</v>
      </c>
      <c r="AF23" s="8" t="s">
        <v>148</v>
      </c>
      <c r="AG23" s="75">
        <v>4.4444444444444444E-3</v>
      </c>
    </row>
    <row r="24" spans="2:33" s="56" customFormat="1" x14ac:dyDescent="0.2">
      <c r="B24" s="54" t="str">
        <f>S23</f>
        <v>GASBoiler</v>
      </c>
      <c r="C24" s="9" t="str">
        <f>PRI_Sector_Fuels!P6</f>
        <v>MANGASMIN</v>
      </c>
      <c r="D24" s="54" t="s">
        <v>141</v>
      </c>
      <c r="E24" s="83">
        <v>2030</v>
      </c>
      <c r="F24" s="55"/>
      <c r="G24" s="56">
        <v>1</v>
      </c>
      <c r="H24" s="56">
        <v>1</v>
      </c>
      <c r="I24" s="56">
        <v>25</v>
      </c>
      <c r="J24" s="56">
        <v>1515</v>
      </c>
      <c r="M24" s="57">
        <v>8.76</v>
      </c>
      <c r="Q24" s="71" t="s">
        <v>120</v>
      </c>
      <c r="R24" s="71"/>
      <c r="S24" s="70" t="s">
        <v>115</v>
      </c>
      <c r="T24" s="73" t="s">
        <v>116</v>
      </c>
      <c r="U24" s="9" t="s">
        <v>58</v>
      </c>
      <c r="V24" s="9" t="s">
        <v>88</v>
      </c>
      <c r="W24" s="92" t="s">
        <v>89</v>
      </c>
      <c r="AD24" s="1" t="s">
        <v>195</v>
      </c>
      <c r="AE24" s="12" t="str">
        <f t="shared" si="0"/>
        <v>WNDTRBN</v>
      </c>
      <c r="AF24" s="97" t="s">
        <v>149</v>
      </c>
      <c r="AG24" s="75">
        <v>4.2483660130718951E-3</v>
      </c>
    </row>
    <row r="25" spans="2:33" s="56" customFormat="1" x14ac:dyDescent="0.2">
      <c r="B25" s="54" t="str">
        <f>S26</f>
        <v>WNDTRBN</v>
      </c>
      <c r="C25" s="9"/>
      <c r="D25" s="54" t="s">
        <v>69</v>
      </c>
      <c r="E25" s="83">
        <v>2030</v>
      </c>
      <c r="F25" s="55"/>
      <c r="G25" s="56">
        <v>1</v>
      </c>
      <c r="H25" s="56">
        <v>1</v>
      </c>
      <c r="I25" s="56">
        <v>25</v>
      </c>
      <c r="J25" s="56">
        <v>1041</v>
      </c>
      <c r="K25" s="56">
        <v>38</v>
      </c>
      <c r="M25" s="57">
        <v>8.76</v>
      </c>
      <c r="Q25" s="71" t="s">
        <v>120</v>
      </c>
      <c r="R25" s="71"/>
      <c r="S25" s="70" t="s">
        <v>65</v>
      </c>
      <c r="T25" s="73" t="s">
        <v>119</v>
      </c>
      <c r="U25" s="9" t="s">
        <v>58</v>
      </c>
      <c r="V25" s="9" t="s">
        <v>88</v>
      </c>
      <c r="W25" s="56" t="s">
        <v>89</v>
      </c>
      <c r="AD25" s="1" t="s">
        <v>195</v>
      </c>
      <c r="AE25" s="12" t="str">
        <f t="shared" si="0"/>
        <v>WNDTRBN</v>
      </c>
      <c r="AF25" s="8" t="s">
        <v>150</v>
      </c>
      <c r="AG25" s="75">
        <v>4.0522875816993466E-3</v>
      </c>
    </row>
    <row r="26" spans="2:33" s="56" customFormat="1" x14ac:dyDescent="0.2">
      <c r="B26" s="54" t="str">
        <f>S27</f>
        <v>SOLPV</v>
      </c>
      <c r="C26" s="9"/>
      <c r="D26" s="54" t="s">
        <v>69</v>
      </c>
      <c r="E26" s="83">
        <v>2030</v>
      </c>
      <c r="F26" s="55"/>
      <c r="G26" s="56">
        <v>1</v>
      </c>
      <c r="H26" s="56">
        <v>1</v>
      </c>
      <c r="I26" s="56">
        <v>25</v>
      </c>
      <c r="J26" s="56">
        <v>691</v>
      </c>
      <c r="K26" s="56">
        <v>1125</v>
      </c>
      <c r="M26" s="57">
        <v>8.76</v>
      </c>
      <c r="Q26" s="71" t="s">
        <v>69</v>
      </c>
      <c r="R26" s="71"/>
      <c r="S26" s="70" t="s">
        <v>94</v>
      </c>
      <c r="T26" s="73" t="s">
        <v>97</v>
      </c>
      <c r="U26" s="9" t="s">
        <v>58</v>
      </c>
      <c r="V26" s="9" t="s">
        <v>88</v>
      </c>
      <c r="W26" s="56" t="s">
        <v>89</v>
      </c>
      <c r="AD26" s="1" t="s">
        <v>195</v>
      </c>
      <c r="AE26" s="12" t="str">
        <f t="shared" si="0"/>
        <v>WNDTRBN</v>
      </c>
      <c r="AF26" s="97" t="s">
        <v>151</v>
      </c>
      <c r="AG26" s="75">
        <v>3.8562091503267972E-3</v>
      </c>
    </row>
    <row r="27" spans="2:33" s="56" customFormat="1" x14ac:dyDescent="0.2">
      <c r="B27" s="54" t="str">
        <f>S25</f>
        <v>CSP</v>
      </c>
      <c r="C27" s="9"/>
      <c r="D27" s="54" t="str">
        <f>S7</f>
        <v>SOLHEAT</v>
      </c>
      <c r="E27" s="83">
        <v>2030</v>
      </c>
      <c r="F27" s="55"/>
      <c r="G27" s="56">
        <v>1</v>
      </c>
      <c r="H27" s="56">
        <v>1</v>
      </c>
      <c r="I27" s="56">
        <v>25</v>
      </c>
      <c r="J27" s="56">
        <v>3677</v>
      </c>
      <c r="L27" s="56">
        <v>14</v>
      </c>
      <c r="M27" s="57">
        <v>8.76</v>
      </c>
      <c r="Q27" s="71" t="s">
        <v>69</v>
      </c>
      <c r="R27" s="71"/>
      <c r="S27" s="70" t="s">
        <v>95</v>
      </c>
      <c r="T27" s="73" t="s">
        <v>96</v>
      </c>
      <c r="U27" s="9" t="s">
        <v>58</v>
      </c>
      <c r="V27" s="9" t="s">
        <v>88</v>
      </c>
      <c r="W27" s="56" t="s">
        <v>89</v>
      </c>
      <c r="AD27" s="1" t="s">
        <v>195</v>
      </c>
      <c r="AE27" s="12" t="str">
        <f t="shared" si="0"/>
        <v>WNDTRBN</v>
      </c>
      <c r="AF27" s="8" t="s">
        <v>152</v>
      </c>
      <c r="AG27" s="75">
        <v>3.7254901960784314E-3</v>
      </c>
    </row>
    <row r="28" spans="2:33" s="56" customFormat="1" x14ac:dyDescent="0.2">
      <c r="B28" s="8" t="str">
        <f>S28</f>
        <v>RNWHEAT</v>
      </c>
      <c r="C28" s="16" t="str">
        <f>S5</f>
        <v>ELCHEAT</v>
      </c>
      <c r="D28" s="54" t="s">
        <v>141</v>
      </c>
      <c r="E28" s="83">
        <v>2030</v>
      </c>
      <c r="F28" s="55"/>
      <c r="G28" s="56">
        <v>1</v>
      </c>
      <c r="H28" s="56">
        <v>1</v>
      </c>
      <c r="I28" s="56">
        <v>25</v>
      </c>
      <c r="J28" s="56">
        <v>0</v>
      </c>
      <c r="K28" s="8"/>
      <c r="M28" s="57">
        <v>8.76</v>
      </c>
      <c r="Q28" s="8" t="s">
        <v>120</v>
      </c>
      <c r="R28" s="8"/>
      <c r="S28" s="8" t="s">
        <v>137</v>
      </c>
      <c r="T28" s="8" t="s">
        <v>140</v>
      </c>
      <c r="U28" s="8" t="s">
        <v>58</v>
      </c>
      <c r="V28" s="9" t="s">
        <v>88</v>
      </c>
      <c r="W28" s="56" t="s">
        <v>89</v>
      </c>
      <c r="X28" s="8"/>
      <c r="Y28" s="8"/>
      <c r="AD28" s="1" t="s">
        <v>195</v>
      </c>
      <c r="AE28" s="12" t="str">
        <f t="shared" si="0"/>
        <v>WNDTRBN</v>
      </c>
      <c r="AF28" s="97" t="s">
        <v>153</v>
      </c>
      <c r="AG28" s="75">
        <v>3.5947712418300652E-3</v>
      </c>
    </row>
    <row r="29" spans="2:33" s="56" customFormat="1" x14ac:dyDescent="0.2">
      <c r="B29" s="8" t="str">
        <f>S28</f>
        <v>RNWHEAT</v>
      </c>
      <c r="C29" s="16" t="str">
        <f>S6</f>
        <v>BIOHEAT</v>
      </c>
      <c r="D29" s="54" t="s">
        <v>141</v>
      </c>
      <c r="E29" s="83">
        <v>2030</v>
      </c>
      <c r="F29" s="55"/>
      <c r="G29" s="56">
        <v>1</v>
      </c>
      <c r="H29" s="56">
        <v>1</v>
      </c>
      <c r="I29" s="56">
        <v>25</v>
      </c>
      <c r="J29" s="56">
        <v>0</v>
      </c>
      <c r="K29" s="8"/>
      <c r="M29" s="57">
        <v>8.76</v>
      </c>
      <c r="AD29" s="1" t="s">
        <v>195</v>
      </c>
      <c r="AE29" s="12" t="str">
        <f t="shared" si="0"/>
        <v>WNDTRBN</v>
      </c>
      <c r="AF29" s="8" t="s">
        <v>154</v>
      </c>
      <c r="AG29" s="75">
        <v>3.0065359477124184E-3</v>
      </c>
    </row>
    <row r="30" spans="2:33" s="56" customFormat="1" x14ac:dyDescent="0.2">
      <c r="B30" s="8" t="str">
        <f>S28</f>
        <v>RNWHEAT</v>
      </c>
      <c r="C30" s="16" t="str">
        <f>S7</f>
        <v>SOLHEAT</v>
      </c>
      <c r="D30" s="54" t="s">
        <v>141</v>
      </c>
      <c r="E30" s="83">
        <v>2030</v>
      </c>
      <c r="F30" s="55"/>
      <c r="G30" s="56">
        <v>1</v>
      </c>
      <c r="H30" s="56">
        <v>1</v>
      </c>
      <c r="I30" s="56">
        <v>25</v>
      </c>
      <c r="J30" s="56">
        <v>0</v>
      </c>
      <c r="K30" s="8"/>
      <c r="M30" s="57">
        <v>8.76</v>
      </c>
      <c r="Q30" s="8"/>
      <c r="R30" s="8"/>
      <c r="S30" s="8"/>
      <c r="T30" s="8"/>
      <c r="U30" s="8"/>
      <c r="V30" s="8"/>
      <c r="W30" s="8"/>
      <c r="X30" s="8"/>
      <c r="Y30" s="8"/>
      <c r="AD30" s="1" t="s">
        <v>195</v>
      </c>
      <c r="AE30" s="12" t="str">
        <f t="shared" si="0"/>
        <v>WNDTRBN</v>
      </c>
      <c r="AF30" s="97" t="s">
        <v>155</v>
      </c>
      <c r="AG30" s="75">
        <v>3.2679738562091504E-3</v>
      </c>
    </row>
    <row r="31" spans="2:33" s="56" customFormat="1" x14ac:dyDescent="0.2">
      <c r="B31" s="16" t="str">
        <f>S23</f>
        <v>GASBoiler</v>
      </c>
      <c r="C31" s="16"/>
      <c r="D31" s="54" t="s">
        <v>136</v>
      </c>
      <c r="E31" s="83">
        <v>2030</v>
      </c>
      <c r="F31" s="55"/>
      <c r="H31" s="56">
        <v>1</v>
      </c>
      <c r="I31" s="56">
        <v>25</v>
      </c>
      <c r="J31" s="56">
        <v>0</v>
      </c>
      <c r="K31" s="8"/>
      <c r="M31" s="57">
        <v>8.76</v>
      </c>
      <c r="N31" s="56">
        <v>0.20200000000000001</v>
      </c>
      <c r="Q31" s="8"/>
      <c r="R31" s="8"/>
      <c r="S31" s="8"/>
      <c r="T31" s="8"/>
      <c r="U31" s="8"/>
      <c r="V31" s="8"/>
      <c r="W31" s="8"/>
      <c r="X31" s="8"/>
      <c r="Y31" s="8"/>
      <c r="AD31" s="1" t="s">
        <v>195</v>
      </c>
      <c r="AE31" s="12" t="str">
        <f t="shared" si="0"/>
        <v>WNDTRBN</v>
      </c>
      <c r="AF31" s="8" t="s">
        <v>156</v>
      </c>
      <c r="AG31" s="75">
        <v>3.5294117647058825E-3</v>
      </c>
    </row>
    <row r="32" spans="2:33" s="56" customFormat="1" x14ac:dyDescent="0.2">
      <c r="B32" s="16"/>
      <c r="C32" s="16"/>
      <c r="D32" s="54"/>
      <c r="E32" s="17"/>
      <c r="F32" s="55"/>
      <c r="K32" s="8"/>
      <c r="M32" s="57"/>
      <c r="Q32" s="8"/>
      <c r="R32" s="8"/>
      <c r="S32" s="8"/>
      <c r="T32" s="8"/>
      <c r="U32" s="8"/>
      <c r="V32" s="8"/>
      <c r="W32" s="8"/>
      <c r="X32" s="8"/>
      <c r="Y32" s="8"/>
      <c r="AD32" s="1" t="s">
        <v>195</v>
      </c>
      <c r="AE32" s="12" t="str">
        <f t="shared" si="0"/>
        <v>WNDTRBN</v>
      </c>
      <c r="AF32" s="97" t="s">
        <v>157</v>
      </c>
      <c r="AG32" s="75">
        <v>3.5947712418300652E-3</v>
      </c>
    </row>
    <row r="33" spans="2:33" s="56" customFormat="1" x14ac:dyDescent="0.2">
      <c r="B33" s="16"/>
      <c r="C33" s="16"/>
      <c r="D33" s="54"/>
      <c r="E33" s="17"/>
      <c r="F33" s="55"/>
      <c r="K33" s="8"/>
      <c r="M33" s="57"/>
      <c r="Q33" s="8"/>
      <c r="R33" s="8"/>
      <c r="S33" s="8"/>
      <c r="T33" s="8"/>
      <c r="U33" s="8"/>
      <c r="V33" s="8"/>
      <c r="W33" s="8"/>
      <c r="X33" s="8"/>
      <c r="Y33" s="8"/>
      <c r="AD33" s="1" t="s">
        <v>195</v>
      </c>
      <c r="AE33" s="12" t="str">
        <f t="shared" si="0"/>
        <v>WNDTRBN</v>
      </c>
      <c r="AF33" s="8" t="s">
        <v>158</v>
      </c>
      <c r="AG33" s="75">
        <v>3.5294117647058825E-3</v>
      </c>
    </row>
    <row r="34" spans="2:33" s="56" customFormat="1" x14ac:dyDescent="0.2">
      <c r="B34" s="8"/>
      <c r="C34" s="16"/>
      <c r="D34" s="54"/>
      <c r="E34" s="17"/>
      <c r="F34" s="55"/>
      <c r="K34" s="8"/>
      <c r="Q34" s="8"/>
      <c r="R34" s="8"/>
      <c r="S34" s="8"/>
      <c r="T34" s="8"/>
      <c r="U34" s="8"/>
      <c r="V34" s="8"/>
      <c r="W34" s="8"/>
      <c r="X34" s="8"/>
      <c r="Y34" s="8"/>
      <c r="AD34" s="1" t="s">
        <v>195</v>
      </c>
      <c r="AE34" s="12" t="str">
        <f t="shared" si="0"/>
        <v>WNDTRBN</v>
      </c>
      <c r="AF34" s="97" t="s">
        <v>159</v>
      </c>
      <c r="AG34" s="75">
        <v>3.4640522875816994E-3</v>
      </c>
    </row>
    <row r="35" spans="2:33" s="56" customFormat="1" x14ac:dyDescent="0.2">
      <c r="B35" s="16"/>
      <c r="C35" s="16"/>
      <c r="D35" s="54"/>
      <c r="E35" s="17"/>
      <c r="F35" s="55"/>
      <c r="J35" s="81"/>
      <c r="K35" s="8"/>
      <c r="Q35" s="21"/>
      <c r="R35" s="21"/>
      <c r="S35" s="19"/>
      <c r="T35" s="37"/>
      <c r="U35" s="21"/>
      <c r="V35" s="21"/>
      <c r="W35" s="21"/>
      <c r="X35" s="8"/>
      <c r="Y35" s="8"/>
      <c r="AD35" s="1" t="s">
        <v>195</v>
      </c>
      <c r="AE35" s="12" t="str">
        <f t="shared" si="0"/>
        <v>WNDTRBN</v>
      </c>
      <c r="AF35" s="8" t="s">
        <v>160</v>
      </c>
      <c r="AG35" s="75">
        <v>3.5947712418300652E-3</v>
      </c>
    </row>
    <row r="36" spans="2:33" s="56" customFormat="1" x14ac:dyDescent="0.2">
      <c r="B36" s="16"/>
      <c r="C36" s="8"/>
      <c r="D36" s="54"/>
      <c r="E36" s="17"/>
      <c r="F36" s="58"/>
      <c r="G36" s="8"/>
      <c r="H36" s="8"/>
      <c r="I36" s="8"/>
      <c r="J36" s="82"/>
      <c r="K36" s="8"/>
      <c r="Q36" s="21"/>
      <c r="R36" s="21"/>
      <c r="S36" s="19"/>
      <c r="T36" s="37"/>
      <c r="U36" s="21"/>
      <c r="V36" s="21"/>
      <c r="W36" s="21"/>
      <c r="X36" s="8"/>
      <c r="Y36" s="8"/>
      <c r="AD36" s="1" t="s">
        <v>195</v>
      </c>
      <c r="AE36" s="12" t="str">
        <f t="shared" si="0"/>
        <v>WNDTRBN</v>
      </c>
      <c r="AF36" s="97" t="s">
        <v>161</v>
      </c>
      <c r="AG36" s="75">
        <v>3.9215686274509803E-3</v>
      </c>
    </row>
    <row r="37" spans="2:33" s="57" customFormat="1" x14ac:dyDescent="0.2">
      <c r="B37" s="8"/>
      <c r="C37" s="8"/>
      <c r="D37" s="8"/>
      <c r="E37" s="17"/>
      <c r="F37" s="58"/>
      <c r="G37" s="8"/>
      <c r="H37" s="8"/>
      <c r="I37" s="8"/>
      <c r="J37" s="82"/>
      <c r="K37" s="8"/>
      <c r="Q37" s="8"/>
      <c r="R37" s="8"/>
      <c r="S37" s="8"/>
      <c r="T37" s="8"/>
      <c r="U37" s="16"/>
      <c r="V37" s="16"/>
      <c r="W37" s="62"/>
      <c r="X37" s="8"/>
      <c r="Y37" s="8"/>
      <c r="AD37" s="1" t="s">
        <v>195</v>
      </c>
      <c r="AE37" s="12" t="str">
        <f t="shared" si="0"/>
        <v>WNDTRBN</v>
      </c>
      <c r="AF37" s="8" t="s">
        <v>162</v>
      </c>
      <c r="AG37" s="75">
        <v>4.4444444444444444E-3</v>
      </c>
    </row>
    <row r="38" spans="2:33" x14ac:dyDescent="0.2">
      <c r="F38" s="58"/>
      <c r="G38" s="10"/>
      <c r="H38" s="60"/>
      <c r="R38" s="57"/>
      <c r="T38" s="57"/>
      <c r="U38" s="59"/>
      <c r="V38" s="59"/>
      <c r="AD38" s="1" t="s">
        <v>195</v>
      </c>
      <c r="AE38" s="12" t="str">
        <f t="shared" si="0"/>
        <v>WNDTRBN</v>
      </c>
      <c r="AF38" s="97" t="s">
        <v>163</v>
      </c>
      <c r="AG38" s="75">
        <v>4.9019607843137254E-3</v>
      </c>
    </row>
    <row r="39" spans="2:33" x14ac:dyDescent="0.2">
      <c r="H39" s="60"/>
      <c r="AD39" s="1" t="s">
        <v>195</v>
      </c>
      <c r="AE39" s="12" t="str">
        <f t="shared" si="0"/>
        <v>WNDTRBN</v>
      </c>
      <c r="AF39" s="8" t="s">
        <v>164</v>
      </c>
      <c r="AG39" s="75">
        <v>5.2941176470588233E-3</v>
      </c>
    </row>
    <row r="40" spans="2:33" x14ac:dyDescent="0.2">
      <c r="B40" s="53"/>
      <c r="C40" s="8" t="s">
        <v>83</v>
      </c>
      <c r="H40" s="60"/>
      <c r="AD40" s="1" t="s">
        <v>195</v>
      </c>
      <c r="AE40" s="12" t="str">
        <f t="shared" si="0"/>
        <v>WNDTRBN</v>
      </c>
      <c r="AF40" s="97" t="s">
        <v>165</v>
      </c>
      <c r="AG40" s="75">
        <v>5.6209150326797389E-3</v>
      </c>
    </row>
    <row r="41" spans="2:33" x14ac:dyDescent="0.2">
      <c r="B41" s="61"/>
      <c r="C41" s="8" t="s">
        <v>84</v>
      </c>
      <c r="H41" s="60"/>
      <c r="AD41" s="1" t="s">
        <v>195</v>
      </c>
      <c r="AE41" s="12" t="str">
        <f t="shared" si="0"/>
        <v>WNDTRBN</v>
      </c>
      <c r="AF41" s="8" t="s">
        <v>166</v>
      </c>
      <c r="AG41" s="75">
        <v>5.7516339869281043E-3</v>
      </c>
    </row>
    <row r="42" spans="2:33" x14ac:dyDescent="0.2">
      <c r="E42" s="8" t="s">
        <v>90</v>
      </c>
      <c r="F42" s="8" t="s">
        <v>91</v>
      </c>
      <c r="H42" s="60"/>
      <c r="AD42" s="1" t="s">
        <v>195</v>
      </c>
      <c r="AE42" s="12" t="str">
        <f t="shared" si="0"/>
        <v>WNDTRBN</v>
      </c>
      <c r="AF42" s="97" t="s">
        <v>167</v>
      </c>
      <c r="AG42" s="75">
        <v>5.6209150326797389E-3</v>
      </c>
    </row>
    <row r="43" spans="2:33" x14ac:dyDescent="0.2">
      <c r="AD43" s="1" t="s">
        <v>195</v>
      </c>
      <c r="AE43" s="12" t="str">
        <f t="shared" si="0"/>
        <v>WNDTRBN</v>
      </c>
      <c r="AF43" s="8" t="s">
        <v>168</v>
      </c>
      <c r="AG43" s="75">
        <v>5.3594771241830064E-3</v>
      </c>
    </row>
    <row r="44" spans="2:33" x14ac:dyDescent="0.2">
      <c r="E44" s="8" t="s">
        <v>92</v>
      </c>
      <c r="F44" s="8">
        <f>24*365</f>
        <v>8760</v>
      </c>
      <c r="AD44" s="1" t="s">
        <v>195</v>
      </c>
      <c r="AE44" s="12" t="str">
        <f t="shared" si="0"/>
        <v>WNDTRBN</v>
      </c>
      <c r="AF44" s="97" t="s">
        <v>169</v>
      </c>
      <c r="AG44" s="75">
        <v>5.0980392156862748E-3</v>
      </c>
    </row>
    <row r="45" spans="2:33" x14ac:dyDescent="0.2">
      <c r="E45" s="10"/>
      <c r="AD45" s="1" t="s">
        <v>195</v>
      </c>
      <c r="AE45" s="12" t="str">
        <f t="shared" si="0"/>
        <v>WNDTRBN</v>
      </c>
      <c r="AF45" t="s">
        <v>170</v>
      </c>
      <c r="AG45" s="75">
        <v>4.7712418300653592E-3</v>
      </c>
    </row>
    <row r="46" spans="2:33" x14ac:dyDescent="0.2">
      <c r="AD46" s="1" t="s">
        <v>195</v>
      </c>
      <c r="AE46" s="12" t="str">
        <f t="shared" si="0"/>
        <v>WNDTRBN</v>
      </c>
      <c r="AF46" t="s">
        <v>171</v>
      </c>
      <c r="AG46" s="75">
        <v>4.5751633986928107E-3</v>
      </c>
    </row>
    <row r="47" spans="2:33" x14ac:dyDescent="0.2">
      <c r="AD47" s="1" t="s">
        <v>195</v>
      </c>
      <c r="AE47" s="12" t="str">
        <f t="shared" si="0"/>
        <v>WNDTRBN</v>
      </c>
      <c r="AF47" t="s">
        <v>172</v>
      </c>
      <c r="AG47" s="75">
        <v>4.4444444444444444E-3</v>
      </c>
    </row>
    <row r="48" spans="2:33" x14ac:dyDescent="0.2">
      <c r="AD48" s="1" t="s">
        <v>195</v>
      </c>
      <c r="AE48" s="12" t="str">
        <f t="shared" si="0"/>
        <v>WNDTRBN</v>
      </c>
      <c r="AF48" t="s">
        <v>173</v>
      </c>
      <c r="AG48" s="75">
        <v>4.2483660130718951E-3</v>
      </c>
    </row>
    <row r="49" spans="30:33" x14ac:dyDescent="0.2">
      <c r="AD49" s="1" t="s">
        <v>195</v>
      </c>
      <c r="AE49" s="12" t="str">
        <f t="shared" si="0"/>
        <v>WNDTRBN</v>
      </c>
      <c r="AF49" t="s">
        <v>174</v>
      </c>
      <c r="AG49" s="75">
        <v>4.0522875816993466E-3</v>
      </c>
    </row>
    <row r="50" spans="30:33" x14ac:dyDescent="0.2">
      <c r="AD50" s="1" t="s">
        <v>195</v>
      </c>
      <c r="AE50" s="12" t="str">
        <f t="shared" si="0"/>
        <v>WNDTRBN</v>
      </c>
      <c r="AF50" t="s">
        <v>175</v>
      </c>
      <c r="AG50" s="75">
        <v>3.8562091503267972E-3</v>
      </c>
    </row>
    <row r="51" spans="30:33" x14ac:dyDescent="0.2">
      <c r="AD51" s="1" t="s">
        <v>195</v>
      </c>
      <c r="AE51" s="12" t="str">
        <f t="shared" si="0"/>
        <v>WNDTRBN</v>
      </c>
      <c r="AF51" t="s">
        <v>176</v>
      </c>
      <c r="AG51" s="75">
        <v>3.7254901960784314E-3</v>
      </c>
    </row>
    <row r="52" spans="30:33" x14ac:dyDescent="0.2">
      <c r="AD52" s="1" t="s">
        <v>195</v>
      </c>
      <c r="AE52" s="12" t="str">
        <f t="shared" si="0"/>
        <v>WNDTRBN</v>
      </c>
      <c r="AF52" t="s">
        <v>177</v>
      </c>
      <c r="AG52" s="75">
        <v>3.5947712418300652E-3</v>
      </c>
    </row>
    <row r="53" spans="30:33" x14ac:dyDescent="0.2">
      <c r="AD53" s="1" t="s">
        <v>195</v>
      </c>
      <c r="AE53" s="12" t="str">
        <f t="shared" si="0"/>
        <v>WNDTRBN</v>
      </c>
      <c r="AF53" t="s">
        <v>178</v>
      </c>
      <c r="AG53" s="75">
        <v>3.0065359477124184E-3</v>
      </c>
    </row>
    <row r="54" spans="30:33" x14ac:dyDescent="0.2">
      <c r="AD54" s="1" t="s">
        <v>195</v>
      </c>
      <c r="AE54" s="12" t="str">
        <f t="shared" si="0"/>
        <v>WNDTRBN</v>
      </c>
      <c r="AF54" t="s">
        <v>179</v>
      </c>
      <c r="AG54" s="75">
        <v>3.2679738562091504E-3</v>
      </c>
    </row>
    <row r="55" spans="30:33" x14ac:dyDescent="0.2">
      <c r="AD55" s="1" t="s">
        <v>195</v>
      </c>
      <c r="AE55" s="12" t="str">
        <f t="shared" si="0"/>
        <v>WNDTRBN</v>
      </c>
      <c r="AF55" t="s">
        <v>180</v>
      </c>
      <c r="AG55" s="75">
        <v>3.5294117647058825E-3</v>
      </c>
    </row>
    <row r="56" spans="30:33" x14ac:dyDescent="0.2">
      <c r="AD56" s="1" t="s">
        <v>195</v>
      </c>
      <c r="AE56" s="12" t="str">
        <f t="shared" si="0"/>
        <v>WNDTRBN</v>
      </c>
      <c r="AF56" t="s">
        <v>181</v>
      </c>
      <c r="AG56" s="75">
        <v>3.5947712418300652E-3</v>
      </c>
    </row>
    <row r="57" spans="30:33" x14ac:dyDescent="0.2">
      <c r="AD57" s="1" t="s">
        <v>195</v>
      </c>
      <c r="AE57" s="12" t="str">
        <f t="shared" si="0"/>
        <v>WNDTRBN</v>
      </c>
      <c r="AF57" t="s">
        <v>182</v>
      </c>
      <c r="AG57" s="75">
        <v>3.5294117647058825E-3</v>
      </c>
    </row>
    <row r="58" spans="30:33" x14ac:dyDescent="0.2">
      <c r="AD58" s="1" t="s">
        <v>195</v>
      </c>
      <c r="AE58" s="12" t="str">
        <f t="shared" si="0"/>
        <v>WNDTRBN</v>
      </c>
      <c r="AF58" t="s">
        <v>183</v>
      </c>
      <c r="AG58" s="75">
        <v>3.4640522875816994E-3</v>
      </c>
    </row>
    <row r="59" spans="30:33" x14ac:dyDescent="0.2">
      <c r="AD59" s="1" t="s">
        <v>195</v>
      </c>
      <c r="AE59" s="12" t="str">
        <f t="shared" si="0"/>
        <v>WNDTRBN</v>
      </c>
      <c r="AF59" t="s">
        <v>184</v>
      </c>
      <c r="AG59" s="75">
        <v>3.5947712418300652E-3</v>
      </c>
    </row>
    <row r="60" spans="30:33" x14ac:dyDescent="0.2">
      <c r="AD60" s="1" t="s">
        <v>195</v>
      </c>
      <c r="AE60" s="12" t="str">
        <f t="shared" si="0"/>
        <v>WNDTRBN</v>
      </c>
      <c r="AF60" t="s">
        <v>185</v>
      </c>
      <c r="AG60" s="75">
        <v>3.9215686274509803E-3</v>
      </c>
    </row>
    <row r="61" spans="30:33" x14ac:dyDescent="0.2">
      <c r="AD61" s="1" t="s">
        <v>195</v>
      </c>
      <c r="AE61" s="12" t="str">
        <f t="shared" si="0"/>
        <v>WNDTRBN</v>
      </c>
      <c r="AF61" t="s">
        <v>186</v>
      </c>
      <c r="AG61" s="75">
        <v>4.4444444444444444E-3</v>
      </c>
    </row>
    <row r="62" spans="30:33" x14ac:dyDescent="0.2">
      <c r="AD62" s="1" t="s">
        <v>195</v>
      </c>
      <c r="AE62" s="12" t="str">
        <f t="shared" si="0"/>
        <v>WNDTRBN</v>
      </c>
      <c r="AF62" t="s">
        <v>187</v>
      </c>
      <c r="AG62" s="75">
        <v>4.9019607843137254E-3</v>
      </c>
    </row>
    <row r="63" spans="30:33" x14ac:dyDescent="0.2">
      <c r="AD63" s="1" t="s">
        <v>195</v>
      </c>
      <c r="AE63" s="12" t="str">
        <f t="shared" si="0"/>
        <v>WNDTRBN</v>
      </c>
      <c r="AF63" t="s">
        <v>188</v>
      </c>
      <c r="AG63" s="75">
        <v>5.2941176470588233E-3</v>
      </c>
    </row>
    <row r="64" spans="30:33" x14ac:dyDescent="0.2">
      <c r="AD64" s="1" t="s">
        <v>195</v>
      </c>
      <c r="AE64" s="12" t="str">
        <f t="shared" si="0"/>
        <v>WNDTRBN</v>
      </c>
      <c r="AF64" t="s">
        <v>189</v>
      </c>
      <c r="AG64" s="75">
        <v>5.6209150326797389E-3</v>
      </c>
    </row>
    <row r="65" spans="30:33" x14ac:dyDescent="0.2">
      <c r="AD65" s="1" t="s">
        <v>195</v>
      </c>
      <c r="AE65" s="12" t="str">
        <f t="shared" si="0"/>
        <v>WNDTRBN</v>
      </c>
      <c r="AF65" t="s">
        <v>190</v>
      </c>
      <c r="AG65" s="75">
        <v>5.7516339869281043E-3</v>
      </c>
    </row>
    <row r="66" spans="30:33" x14ac:dyDescent="0.2">
      <c r="AD66" s="1" t="s">
        <v>195</v>
      </c>
      <c r="AE66" s="12" t="str">
        <f t="shared" si="0"/>
        <v>WNDTRBN</v>
      </c>
      <c r="AF66" t="s">
        <v>191</v>
      </c>
      <c r="AG66" s="75">
        <v>5.6209150326797389E-3</v>
      </c>
    </row>
    <row r="67" spans="30:33" x14ac:dyDescent="0.2">
      <c r="AD67" s="1" t="s">
        <v>195</v>
      </c>
      <c r="AE67" s="12" t="str">
        <f t="shared" si="0"/>
        <v>WNDTRBN</v>
      </c>
      <c r="AF67" t="s">
        <v>192</v>
      </c>
      <c r="AG67" s="75">
        <v>5.3594771241830064E-3</v>
      </c>
    </row>
    <row r="68" spans="30:33" x14ac:dyDescent="0.2">
      <c r="AD68" s="1" t="s">
        <v>195</v>
      </c>
      <c r="AE68" s="12" t="str">
        <f t="shared" si="0"/>
        <v>WNDTRBN</v>
      </c>
      <c r="AF68" t="s">
        <v>193</v>
      </c>
      <c r="AG68" s="75">
        <v>5.0980392156862748E-3</v>
      </c>
    </row>
    <row r="69" spans="30:33" x14ac:dyDescent="0.2">
      <c r="AD69" s="1" t="s">
        <v>195</v>
      </c>
      <c r="AE69" s="16" t="str">
        <f>S$27</f>
        <v>SOLPV</v>
      </c>
      <c r="AF69" s="8" t="str">
        <f>AF21</f>
        <v>W_01</v>
      </c>
      <c r="AG69" s="8">
        <v>0</v>
      </c>
    </row>
    <row r="70" spans="30:33" x14ac:dyDescent="0.2">
      <c r="AD70" s="1" t="s">
        <v>195</v>
      </c>
      <c r="AE70" s="16" t="str">
        <f t="shared" ref="AE70:AE116" si="1">S$27</f>
        <v>SOLPV</v>
      </c>
      <c r="AF70" s="8" t="str">
        <f t="shared" ref="AF70:AF133" si="2">AF22</f>
        <v>W_02</v>
      </c>
      <c r="AG70" s="8">
        <v>0</v>
      </c>
    </row>
    <row r="71" spans="30:33" x14ac:dyDescent="0.2">
      <c r="AD71" s="1" t="s">
        <v>195</v>
      </c>
      <c r="AE71" s="16" t="str">
        <f t="shared" si="1"/>
        <v>SOLPV</v>
      </c>
      <c r="AF71" s="8" t="str">
        <f t="shared" si="2"/>
        <v>W_03</v>
      </c>
      <c r="AG71" s="8">
        <v>0</v>
      </c>
    </row>
    <row r="72" spans="30:33" x14ac:dyDescent="0.2">
      <c r="AD72" s="1" t="s">
        <v>195</v>
      </c>
      <c r="AE72" s="16" t="str">
        <f t="shared" si="1"/>
        <v>SOLPV</v>
      </c>
      <c r="AF72" s="8" t="str">
        <f t="shared" si="2"/>
        <v>W_04</v>
      </c>
      <c r="AG72" s="8">
        <v>0</v>
      </c>
    </row>
    <row r="73" spans="30:33" x14ac:dyDescent="0.2">
      <c r="AD73" s="1" t="s">
        <v>195</v>
      </c>
      <c r="AE73" s="16" t="str">
        <f t="shared" si="1"/>
        <v>SOLPV</v>
      </c>
      <c r="AF73" s="8" t="str">
        <f t="shared" si="2"/>
        <v>W_05</v>
      </c>
      <c r="AG73" s="8">
        <v>0</v>
      </c>
    </row>
    <row r="74" spans="30:33" x14ac:dyDescent="0.2">
      <c r="AD74" s="1" t="s">
        <v>195</v>
      </c>
      <c r="AE74" s="16" t="str">
        <f t="shared" si="1"/>
        <v>SOLPV</v>
      </c>
      <c r="AF74" s="8" t="str">
        <f t="shared" si="2"/>
        <v>W_06</v>
      </c>
      <c r="AG74" s="8">
        <v>0</v>
      </c>
    </row>
    <row r="75" spans="30:33" x14ac:dyDescent="0.2">
      <c r="AD75" s="1" t="s">
        <v>195</v>
      </c>
      <c r="AE75" s="16" t="str">
        <f t="shared" si="1"/>
        <v>SOLPV</v>
      </c>
      <c r="AF75" s="8" t="str">
        <f t="shared" si="2"/>
        <v>W_07</v>
      </c>
      <c r="AG75" s="8">
        <v>1.646798088410991E-2</v>
      </c>
    </row>
    <row r="76" spans="30:33" x14ac:dyDescent="0.2">
      <c r="AD76" s="1" t="s">
        <v>195</v>
      </c>
      <c r="AE76" s="16" t="str">
        <f t="shared" si="1"/>
        <v>SOLPV</v>
      </c>
      <c r="AF76" s="8" t="str">
        <f t="shared" si="2"/>
        <v>W_08</v>
      </c>
      <c r="AG76" s="8">
        <v>0.1184353643966547</v>
      </c>
    </row>
    <row r="77" spans="30:33" x14ac:dyDescent="0.2">
      <c r="AD77" s="1" t="s">
        <v>195</v>
      </c>
      <c r="AE77" s="16" t="str">
        <f t="shared" si="1"/>
        <v>SOLPV</v>
      </c>
      <c r="AF77" s="8" t="str">
        <f t="shared" si="2"/>
        <v>W_09</v>
      </c>
      <c r="AG77" s="8">
        <v>0.29891851851851847</v>
      </c>
    </row>
    <row r="78" spans="30:33" x14ac:dyDescent="0.2">
      <c r="AD78" s="1" t="s">
        <v>195</v>
      </c>
      <c r="AE78" s="16" t="str">
        <f t="shared" si="1"/>
        <v>SOLPV</v>
      </c>
      <c r="AF78" s="8" t="str">
        <f t="shared" si="2"/>
        <v>W_10</v>
      </c>
      <c r="AG78" s="8">
        <v>0.49000167264038241</v>
      </c>
    </row>
    <row r="79" spans="30:33" x14ac:dyDescent="0.2">
      <c r="AD79" s="1" t="s">
        <v>195</v>
      </c>
      <c r="AE79" s="16" t="str">
        <f t="shared" si="1"/>
        <v>SOLPV</v>
      </c>
      <c r="AF79" s="8" t="str">
        <f t="shared" si="2"/>
        <v>W_11</v>
      </c>
      <c r="AG79" s="8">
        <v>0.65401063321385899</v>
      </c>
    </row>
    <row r="80" spans="30:33" x14ac:dyDescent="0.2">
      <c r="AD80" s="1" t="s">
        <v>195</v>
      </c>
      <c r="AE80" s="16" t="str">
        <f t="shared" si="1"/>
        <v>SOLPV</v>
      </c>
      <c r="AF80" s="8" t="str">
        <f t="shared" si="2"/>
        <v>W_12</v>
      </c>
      <c r="AG80" s="8">
        <v>0.77708183990442059</v>
      </c>
    </row>
    <row r="81" spans="30:33" x14ac:dyDescent="0.2">
      <c r="AD81" s="1" t="s">
        <v>195</v>
      </c>
      <c r="AE81" s="16" t="str">
        <f t="shared" si="1"/>
        <v>SOLPV</v>
      </c>
      <c r="AF81" s="8" t="str">
        <f t="shared" si="2"/>
        <v>W_13</v>
      </c>
      <c r="AG81" s="8">
        <v>0.83970382317801662</v>
      </c>
    </row>
    <row r="82" spans="30:33" x14ac:dyDescent="0.2">
      <c r="AD82" s="1" t="s">
        <v>195</v>
      </c>
      <c r="AE82" s="16" t="str">
        <f t="shared" si="1"/>
        <v>SOLPV</v>
      </c>
      <c r="AF82" s="8" t="str">
        <f t="shared" si="2"/>
        <v>W_14</v>
      </c>
      <c r="AG82" s="8">
        <v>0.81719127837514938</v>
      </c>
    </row>
    <row r="83" spans="30:33" x14ac:dyDescent="0.2">
      <c r="AD83" s="1" t="s">
        <v>195</v>
      </c>
      <c r="AE83" s="16" t="str">
        <f t="shared" si="1"/>
        <v>SOLPV</v>
      </c>
      <c r="AF83" s="8" t="str">
        <f t="shared" si="2"/>
        <v>W_15</v>
      </c>
      <c r="AG83" s="8">
        <v>0.72164026284348859</v>
      </c>
    </row>
    <row r="84" spans="30:33" x14ac:dyDescent="0.2">
      <c r="AD84" s="1" t="s">
        <v>195</v>
      </c>
      <c r="AE84" s="16" t="str">
        <f t="shared" si="1"/>
        <v>SOLPV</v>
      </c>
      <c r="AF84" s="8" t="str">
        <f t="shared" si="2"/>
        <v>W_16</v>
      </c>
      <c r="AG84" s="8">
        <v>0.55167574671445641</v>
      </c>
    </row>
    <row r="85" spans="30:33" x14ac:dyDescent="0.2">
      <c r="AD85" s="1" t="s">
        <v>195</v>
      </c>
      <c r="AE85" s="16" t="str">
        <f t="shared" si="1"/>
        <v>SOLPV</v>
      </c>
      <c r="AF85" s="8" t="str">
        <f t="shared" si="2"/>
        <v>W_17</v>
      </c>
      <c r="AG85" s="8">
        <v>0.33744408602150539</v>
      </c>
    </row>
    <row r="86" spans="30:33" x14ac:dyDescent="0.2">
      <c r="AD86" s="1" t="s">
        <v>195</v>
      </c>
      <c r="AE86" s="16" t="str">
        <f t="shared" si="1"/>
        <v>SOLPV</v>
      </c>
      <c r="AF86" s="8" t="str">
        <f t="shared" si="2"/>
        <v>W_18</v>
      </c>
      <c r="AG86" s="8">
        <v>0.1283225806451613</v>
      </c>
    </row>
    <row r="87" spans="30:33" x14ac:dyDescent="0.2">
      <c r="AD87" s="1" t="s">
        <v>195</v>
      </c>
      <c r="AE87" s="16" t="str">
        <f t="shared" si="1"/>
        <v>SOLPV</v>
      </c>
      <c r="AF87" s="8" t="str">
        <f t="shared" si="2"/>
        <v>W_19</v>
      </c>
      <c r="AG87" s="8">
        <v>6.2623655913978497E-3</v>
      </c>
    </row>
    <row r="88" spans="30:33" x14ac:dyDescent="0.2">
      <c r="AD88" s="1" t="s">
        <v>195</v>
      </c>
      <c r="AE88" s="16" t="str">
        <f t="shared" si="1"/>
        <v>SOLPV</v>
      </c>
      <c r="AF88" s="8" t="str">
        <f t="shared" si="2"/>
        <v>W_20</v>
      </c>
      <c r="AG88" s="8">
        <v>0</v>
      </c>
    </row>
    <row r="89" spans="30:33" x14ac:dyDescent="0.2">
      <c r="AD89" s="1" t="s">
        <v>195</v>
      </c>
      <c r="AE89" s="16" t="str">
        <f t="shared" si="1"/>
        <v>SOLPV</v>
      </c>
      <c r="AF89" s="8" t="str">
        <f t="shared" si="2"/>
        <v>W_21</v>
      </c>
      <c r="AG89" s="8">
        <v>0</v>
      </c>
    </row>
    <row r="90" spans="30:33" x14ac:dyDescent="0.2">
      <c r="AD90" s="1" t="s">
        <v>195</v>
      </c>
      <c r="AE90" s="16" t="str">
        <f t="shared" si="1"/>
        <v>SOLPV</v>
      </c>
      <c r="AF90" s="8" t="str">
        <f t="shared" si="2"/>
        <v>W_22</v>
      </c>
      <c r="AG90" s="8">
        <v>0</v>
      </c>
    </row>
    <row r="91" spans="30:33" x14ac:dyDescent="0.2">
      <c r="AD91" s="1" t="s">
        <v>195</v>
      </c>
      <c r="AE91" s="16" t="str">
        <f t="shared" si="1"/>
        <v>SOLPV</v>
      </c>
      <c r="AF91" s="8" t="str">
        <f t="shared" si="2"/>
        <v>W_23</v>
      </c>
      <c r="AG91" s="8">
        <v>0</v>
      </c>
    </row>
    <row r="92" spans="30:33" x14ac:dyDescent="0.2">
      <c r="AD92" s="1" t="s">
        <v>195</v>
      </c>
      <c r="AE92" s="16" t="str">
        <f t="shared" si="1"/>
        <v>SOLPV</v>
      </c>
      <c r="AF92" s="8" t="str">
        <f t="shared" si="2"/>
        <v>W_24</v>
      </c>
      <c r="AG92" s="8">
        <v>0</v>
      </c>
    </row>
    <row r="93" spans="30:33" x14ac:dyDescent="0.2">
      <c r="AD93" s="1" t="s">
        <v>195</v>
      </c>
      <c r="AE93" s="16" t="str">
        <f t="shared" si="1"/>
        <v>SOLPV</v>
      </c>
      <c r="AF93" s="8" t="str">
        <f t="shared" si="2"/>
        <v>D_01</v>
      </c>
      <c r="AG93" s="8">
        <v>0</v>
      </c>
    </row>
    <row r="94" spans="30:33" x14ac:dyDescent="0.2">
      <c r="AD94" s="1" t="s">
        <v>195</v>
      </c>
      <c r="AE94" s="16" t="str">
        <f t="shared" si="1"/>
        <v>SOLPV</v>
      </c>
      <c r="AF94" s="8" t="str">
        <f t="shared" si="2"/>
        <v>D_02</v>
      </c>
      <c r="AG94" s="8">
        <v>0</v>
      </c>
    </row>
    <row r="95" spans="30:33" x14ac:dyDescent="0.2">
      <c r="AD95" s="1" t="s">
        <v>195</v>
      </c>
      <c r="AE95" s="16" t="str">
        <f t="shared" si="1"/>
        <v>SOLPV</v>
      </c>
      <c r="AF95" s="8" t="str">
        <f t="shared" si="2"/>
        <v>D_03</v>
      </c>
      <c r="AG95" s="8">
        <v>0</v>
      </c>
    </row>
    <row r="96" spans="30:33" x14ac:dyDescent="0.2">
      <c r="AD96" s="1" t="s">
        <v>195</v>
      </c>
      <c r="AE96" s="16" t="str">
        <f t="shared" si="1"/>
        <v>SOLPV</v>
      </c>
      <c r="AF96" s="8" t="str">
        <f t="shared" si="2"/>
        <v>D_04</v>
      </c>
      <c r="AG96" s="8">
        <v>0</v>
      </c>
    </row>
    <row r="97" spans="30:33" x14ac:dyDescent="0.2">
      <c r="AD97" s="1" t="s">
        <v>195</v>
      </c>
      <c r="AE97" s="16" t="str">
        <f t="shared" si="1"/>
        <v>SOLPV</v>
      </c>
      <c r="AF97" s="8" t="str">
        <f t="shared" si="2"/>
        <v>D_05</v>
      </c>
      <c r="AG97" s="8">
        <v>0</v>
      </c>
    </row>
    <row r="98" spans="30:33" x14ac:dyDescent="0.2">
      <c r="AD98" s="1" t="s">
        <v>195</v>
      </c>
      <c r="AE98" s="16" t="str">
        <f t="shared" si="1"/>
        <v>SOLPV</v>
      </c>
      <c r="AF98" s="8" t="str">
        <f t="shared" si="2"/>
        <v>D_06</v>
      </c>
      <c r="AG98" s="8">
        <v>0</v>
      </c>
    </row>
    <row r="99" spans="30:33" x14ac:dyDescent="0.2">
      <c r="AD99" s="1" t="s">
        <v>195</v>
      </c>
      <c r="AE99" s="16" t="str">
        <f t="shared" si="1"/>
        <v>SOLPV</v>
      </c>
      <c r="AF99" s="8" t="str">
        <f t="shared" si="2"/>
        <v>D_07</v>
      </c>
      <c r="AG99" s="8">
        <v>1.528355236957387E-2</v>
      </c>
    </row>
    <row r="100" spans="30:33" x14ac:dyDescent="0.2">
      <c r="AD100" s="1" t="s">
        <v>195</v>
      </c>
      <c r="AE100" s="16" t="str">
        <f t="shared" si="1"/>
        <v>SOLPV</v>
      </c>
      <c r="AF100" s="8" t="str">
        <f t="shared" si="2"/>
        <v>D_08</v>
      </c>
      <c r="AG100" s="8">
        <v>0.16866303407862551</v>
      </c>
    </row>
    <row r="101" spans="30:33" x14ac:dyDescent="0.2">
      <c r="AD101" s="1" t="s">
        <v>195</v>
      </c>
      <c r="AE101" s="16" t="str">
        <f t="shared" si="1"/>
        <v>SOLPV</v>
      </c>
      <c r="AF101" s="8" t="str">
        <f t="shared" si="2"/>
        <v>D_09</v>
      </c>
      <c r="AG101" s="8">
        <v>0.38093878079308191</v>
      </c>
    </row>
    <row r="102" spans="30:33" x14ac:dyDescent="0.2">
      <c r="AD102" s="1" t="s">
        <v>195</v>
      </c>
      <c r="AE102" s="16" t="str">
        <f t="shared" si="1"/>
        <v>SOLPV</v>
      </c>
      <c r="AF102" s="8" t="str">
        <f t="shared" si="2"/>
        <v>D_10</v>
      </c>
      <c r="AG102" s="8">
        <v>0.60340974284576432</v>
      </c>
    </row>
    <row r="103" spans="30:33" x14ac:dyDescent="0.2">
      <c r="AD103" s="1" t="s">
        <v>195</v>
      </c>
      <c r="AE103" s="16" t="str">
        <f t="shared" si="1"/>
        <v>SOLPV</v>
      </c>
      <c r="AF103" s="8" t="str">
        <f t="shared" si="2"/>
        <v>D_11</v>
      </c>
      <c r="AG103" s="8">
        <v>0.7847666183080162</v>
      </c>
    </row>
    <row r="104" spans="30:33" x14ac:dyDescent="0.2">
      <c r="AD104" s="1" t="s">
        <v>195</v>
      </c>
      <c r="AE104" s="16" t="str">
        <f t="shared" si="1"/>
        <v>SOLPV</v>
      </c>
      <c r="AF104" s="8" t="str">
        <f t="shared" si="2"/>
        <v>D_12</v>
      </c>
      <c r="AG104" s="8">
        <v>0.89506576776469238</v>
      </c>
    </row>
    <row r="105" spans="30:33" x14ac:dyDescent="0.2">
      <c r="AD105" s="1" t="s">
        <v>195</v>
      </c>
      <c r="AE105" s="16" t="str">
        <f t="shared" si="1"/>
        <v>SOLPV</v>
      </c>
      <c r="AF105" s="8" t="str">
        <f t="shared" si="2"/>
        <v>D_13</v>
      </c>
      <c r="AG105" s="8">
        <v>0.92324038231780159</v>
      </c>
    </row>
    <row r="106" spans="30:33" x14ac:dyDescent="0.2">
      <c r="AD106" s="1" t="s">
        <v>195</v>
      </c>
      <c r="AE106" s="16" t="str">
        <f t="shared" si="1"/>
        <v>SOLPV</v>
      </c>
      <c r="AF106" s="8" t="str">
        <f t="shared" si="2"/>
        <v>D_14</v>
      </c>
      <c r="AG106" s="8">
        <v>0.8673043750355578</v>
      </c>
    </row>
    <row r="107" spans="30:33" x14ac:dyDescent="0.2">
      <c r="AD107" s="1" t="s">
        <v>195</v>
      </c>
      <c r="AE107" s="16" t="str">
        <f t="shared" si="1"/>
        <v>SOLPV</v>
      </c>
      <c r="AF107" s="8" t="str">
        <f t="shared" si="2"/>
        <v>D_15</v>
      </c>
      <c r="AG107" s="8">
        <v>0.7383132388917335</v>
      </c>
    </row>
    <row r="108" spans="30:33" x14ac:dyDescent="0.2">
      <c r="AD108" s="1" t="s">
        <v>195</v>
      </c>
      <c r="AE108" s="16" t="str">
        <f t="shared" si="1"/>
        <v>SOLPV</v>
      </c>
      <c r="AF108" s="8" t="str">
        <f t="shared" si="2"/>
        <v>D_16</v>
      </c>
      <c r="AG108" s="8">
        <v>0.55210523695738756</v>
      </c>
    </row>
    <row r="109" spans="30:33" x14ac:dyDescent="0.2">
      <c r="AD109" s="1" t="s">
        <v>195</v>
      </c>
      <c r="AE109" s="16" t="str">
        <f t="shared" si="1"/>
        <v>SOLPV</v>
      </c>
      <c r="AF109" s="8" t="str">
        <f t="shared" si="2"/>
        <v>D_17</v>
      </c>
      <c r="AG109" s="8">
        <v>0.32423942936792399</v>
      </c>
    </row>
    <row r="110" spans="30:33" x14ac:dyDescent="0.2">
      <c r="AD110" s="1" t="s">
        <v>195</v>
      </c>
      <c r="AE110" s="16" t="str">
        <f t="shared" si="1"/>
        <v>SOLPV</v>
      </c>
      <c r="AF110" s="8" t="str">
        <f t="shared" si="2"/>
        <v>D_18</v>
      </c>
      <c r="AG110" s="8">
        <v>0.1175180804460375</v>
      </c>
    </row>
    <row r="111" spans="30:33" x14ac:dyDescent="0.2">
      <c r="AD111" s="1" t="s">
        <v>195</v>
      </c>
      <c r="AE111" s="16" t="str">
        <f t="shared" si="1"/>
        <v>SOLPV</v>
      </c>
      <c r="AF111" s="8" t="str">
        <f t="shared" si="2"/>
        <v>D_19</v>
      </c>
      <c r="AG111" s="8">
        <v>1.7921146953405021E-5</v>
      </c>
    </row>
    <row r="112" spans="30:33" x14ac:dyDescent="0.2">
      <c r="AD112" s="1" t="s">
        <v>195</v>
      </c>
      <c r="AE112" s="16" t="str">
        <f t="shared" si="1"/>
        <v>SOLPV</v>
      </c>
      <c r="AF112" s="8" t="str">
        <f t="shared" si="2"/>
        <v>D_20</v>
      </c>
      <c r="AG112" s="8">
        <v>0</v>
      </c>
    </row>
    <row r="113" spans="30:33" x14ac:dyDescent="0.2">
      <c r="AD113" s="1" t="s">
        <v>195</v>
      </c>
      <c r="AE113" s="16" t="str">
        <f t="shared" si="1"/>
        <v>SOLPV</v>
      </c>
      <c r="AF113" s="8" t="str">
        <f t="shared" si="2"/>
        <v>D_21</v>
      </c>
      <c r="AG113" s="8">
        <v>0</v>
      </c>
    </row>
    <row r="114" spans="30:33" x14ac:dyDescent="0.2">
      <c r="AD114" s="1" t="s">
        <v>195</v>
      </c>
      <c r="AE114" s="16" t="str">
        <f t="shared" si="1"/>
        <v>SOLPV</v>
      </c>
      <c r="AF114" s="8" t="str">
        <f t="shared" si="2"/>
        <v>D_22</v>
      </c>
      <c r="AG114" s="8">
        <v>0</v>
      </c>
    </row>
    <row r="115" spans="30:33" x14ac:dyDescent="0.2">
      <c r="AD115" s="1" t="s">
        <v>195</v>
      </c>
      <c r="AE115" s="16" t="str">
        <f t="shared" si="1"/>
        <v>SOLPV</v>
      </c>
      <c r="AF115" s="8" t="str">
        <f t="shared" si="2"/>
        <v>D_23</v>
      </c>
      <c r="AG115" s="8">
        <v>0</v>
      </c>
    </row>
    <row r="116" spans="30:33" x14ac:dyDescent="0.2">
      <c r="AD116" s="1" t="s">
        <v>195</v>
      </c>
      <c r="AE116" s="16" t="str">
        <f t="shared" si="1"/>
        <v>SOLPV</v>
      </c>
      <c r="AF116" s="8" t="str">
        <f t="shared" si="2"/>
        <v>D_24</v>
      </c>
      <c r="AG116" s="8">
        <v>0</v>
      </c>
    </row>
    <row r="117" spans="30:33" x14ac:dyDescent="0.2">
      <c r="AD117" s="1"/>
      <c r="AE117" s="16"/>
    </row>
    <row r="118" spans="30:33" x14ac:dyDescent="0.2">
      <c r="AD118" s="1"/>
      <c r="AE118" s="16"/>
    </row>
    <row r="119" spans="30:33" x14ac:dyDescent="0.2">
      <c r="AD119" s="1"/>
      <c r="AE119" s="16"/>
    </row>
    <row r="120" spans="30:33" x14ac:dyDescent="0.2">
      <c r="AD120" s="1"/>
      <c r="AE120" s="16"/>
    </row>
    <row r="121" spans="30:33" x14ac:dyDescent="0.2">
      <c r="AD121" s="1"/>
      <c r="AE121" s="16"/>
    </row>
    <row r="122" spans="30:33" x14ac:dyDescent="0.2">
      <c r="AD122" s="1"/>
      <c r="AE122" s="16"/>
    </row>
    <row r="123" spans="30:33" x14ac:dyDescent="0.2">
      <c r="AD123" s="1"/>
      <c r="AE123" s="16"/>
    </row>
    <row r="124" spans="30:33" x14ac:dyDescent="0.2">
      <c r="AD124" s="1"/>
      <c r="AE124" s="16"/>
    </row>
    <row r="125" spans="30:33" x14ac:dyDescent="0.2">
      <c r="AD125" s="1"/>
      <c r="AE125" s="16"/>
    </row>
    <row r="126" spans="30:33" x14ac:dyDescent="0.2">
      <c r="AD126" s="1"/>
      <c r="AE126" s="16"/>
    </row>
    <row r="127" spans="30:33" x14ac:dyDescent="0.2">
      <c r="AD127" s="1"/>
      <c r="AE127" s="16"/>
    </row>
    <row r="128" spans="30:33" x14ac:dyDescent="0.2">
      <c r="AD128" s="1"/>
      <c r="AE128" s="16"/>
    </row>
    <row r="129" spans="30:31" x14ac:dyDescent="0.2">
      <c r="AD129" s="1"/>
      <c r="AE129" s="16"/>
    </row>
    <row r="130" spans="30:31" x14ac:dyDescent="0.2">
      <c r="AD130" s="1"/>
      <c r="AE130" s="16"/>
    </row>
    <row r="131" spans="30:31" x14ac:dyDescent="0.2">
      <c r="AD131" s="1"/>
      <c r="AE131" s="16"/>
    </row>
    <row r="132" spans="30:31" x14ac:dyDescent="0.2">
      <c r="AD132" s="1"/>
      <c r="AE132" s="16"/>
    </row>
    <row r="133" spans="30:31" x14ac:dyDescent="0.2">
      <c r="AD133" s="1"/>
      <c r="AE133" s="16"/>
    </row>
    <row r="134" spans="30:31" x14ac:dyDescent="0.2">
      <c r="AD134" s="1"/>
      <c r="AE134" s="16"/>
    </row>
    <row r="135" spans="30:31" x14ac:dyDescent="0.2">
      <c r="AD135" s="1"/>
      <c r="AE135" s="16"/>
    </row>
    <row r="136" spans="30:31" x14ac:dyDescent="0.2">
      <c r="AD136" s="1"/>
      <c r="AE136" s="16"/>
    </row>
    <row r="137" spans="30:31" x14ac:dyDescent="0.2">
      <c r="AD137" s="1"/>
      <c r="AE137" s="16"/>
    </row>
    <row r="138" spans="30:31" x14ac:dyDescent="0.2">
      <c r="AD138" s="1"/>
      <c r="AE138" s="16"/>
    </row>
    <row r="139" spans="30:31" x14ac:dyDescent="0.2">
      <c r="AD139" s="1"/>
      <c r="AE139" s="16"/>
    </row>
    <row r="140" spans="30:31" x14ac:dyDescent="0.2">
      <c r="AD140" s="1"/>
      <c r="AE140" s="16"/>
    </row>
    <row r="141" spans="30:31" x14ac:dyDescent="0.2">
      <c r="AD141" s="1"/>
      <c r="AE141" s="16"/>
    </row>
    <row r="142" spans="30:31" x14ac:dyDescent="0.2">
      <c r="AD142" s="1"/>
      <c r="AE142" s="16"/>
    </row>
    <row r="143" spans="30:31" x14ac:dyDescent="0.2">
      <c r="AD143" s="1"/>
      <c r="AE143" s="16"/>
    </row>
    <row r="144" spans="30:31" x14ac:dyDescent="0.2">
      <c r="AD144" s="1"/>
      <c r="AE144" s="16"/>
    </row>
  </sheetData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2025-12-19T18:07:56Z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