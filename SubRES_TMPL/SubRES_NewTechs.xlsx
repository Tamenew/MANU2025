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EED4877A-F087-4E0A-9430-DA9F7300B0E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7" l="1"/>
  <c r="B38" i="7"/>
  <c r="B37" i="7"/>
  <c r="B36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<sst xmlns="http://schemas.openxmlformats.org/spreadsheetml/2006/main" count="348" uniqueCount="157">
  <si>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</si>
  <si>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</si>
  <si>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</si>
  <si>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</si>
  <si>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</si>
  <si>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</si>
  <si>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</si>
  <si>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</si>
  <si>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</si>
  <si>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</si>
  <si>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</si>
  <si>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</si>
  <si>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</si>
  <si>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</si>
  <si>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</si>
  <si>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</si>
  <si>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</si>
  <si>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</si>
  <si>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</si>
  <si>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</si>
  <si>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</si>
  <si>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</si>
  <si>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</si>
  <si>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</si>
  <si>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</si>
  <si>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</si>
  <si>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</si>
  <si>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</si>
  <si>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</si>
  <si>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</si>
  <si>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</si>
  <si>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</si>
  <si>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</si>
  <si>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</si>
  <si>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</si>
  <si>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</si>
  <si>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</si>
  <si>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</si>
  <si>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</si>
  <si>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</si>
  <si>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</si>
  <si>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</si>
  <si>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</si>
  <si>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</si>
  <si>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</si>
  <si>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</si>
  <si>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</si>
  <si>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</si>
  <si>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</si>
  <si>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</si>
  <si>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</si>
  <si>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</si>
  <si>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</si>
  <si>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</si>
  <si>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</si>
  <si>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</si>
  <si>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</si>
  <si>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</si>
  <si>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</si>
  <si>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</si>
  <si>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</si>
  <si>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</si>
  <si>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</si>
  <si>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</si>
  <si>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</si>
  <si>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</si>
  <si>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</si>
  <si>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</si>
  <si>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</si>
  <si>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</si>
  <si>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</si>
  <si>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</si>
  <si>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</si>
  <si>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</si>
  <si>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</si>
  <si>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</si>
  <si>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</si>
  <si>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</si>
  <si>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</si>
  <si>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</si>
  <si>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</si>
  <si>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</si>
  <si>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</si>
  <si>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</si>
  <si>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</si>
  <si>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</si>
  <si>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</si>
  <si>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</si>
  <si>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</si>
  <si>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</si>
  <si>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</si>
  <si>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</si>
  <si>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</si>
  <si>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</si>
  <si>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</si>
  <si>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</si>
  <si>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</si>
  <si>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</si>
  <si>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</si>
  <si>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</si>
  <si>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</si>
  <si>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</si>
  <si>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</si>
  <si>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</si>
  <si>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</si>
  <si>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</si>
  <si>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</si>
  <si>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</si>
  <si>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</si>
  <si>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</si>
  <si>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</si>
  <si>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</si>
  <si>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</si>
  <si>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</si>
  <si>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</si>
  <si>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</si>
  <si>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</si>
  <si>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</si>
  <si>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</si>
  <si>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</si>
  <si>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</si>
  <si>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</si>
  <si>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</si>
  <si>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</si>
  <si>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</si>
  <si>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</si>
  <si>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</si>
  <si>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</si>
  <si>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</si>
  <si>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</si>
  <si>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</si>
  <si>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</si>
  <si>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</si>
  <si>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</si>
  <si>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</si>
  <si>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</si>
  <si>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</si>
  <si>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</si>
  <si>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</si>
  <si>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</si>
  <si>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</si>
  <si>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</si>
  <si>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</si>
  <si>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</si>
  <si>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</si>
  <si>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</si>
  <si>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</si>
  <si>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</si>
  <si>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MANELC</t>
  </si>
  <si>
    <t>DECELC</t>
  </si>
  <si>
    <t>Electric boiler</t>
  </si>
  <si>
    <t>Biomass kiln</t>
  </si>
  <si>
    <t>WNDELC</t>
  </si>
  <si>
    <t>SOLELC</t>
  </si>
  <si>
    <t xml:space="preserve">Decenteralized electricity </t>
  </si>
  <si>
    <t xml:space="preserve">Electricity from solar </t>
  </si>
  <si>
    <t>Electricity from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</si>
</sst>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3" zoomScale="118" zoomScaleNormal="118" workbookViewId="0">
      <selection activeCell="N40" sqref="N4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W5" s="79"/>
      <c r="X5" s="79" t="s">
        <v>146</v>
      </c>
      <c r="Y5" s="79" t="s">
        <v>147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153</v>
      </c>
      <c r="Y6" s="79" t="s">
        <v>155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79" t="s">
        <v>69</v>
      </c>
      <c r="X7" s="46" t="s">
        <v>152</v>
      </c>
      <c r="Y7" s="79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41"/>
      <c r="AB12" s="64"/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/>
      <c r="W13" s="42"/>
      <c r="X13" s="42"/>
      <c r="Y13" s="42"/>
      <c r="Z13" s="42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/>
      <c r="W14" s="43"/>
      <c r="X14" s="43"/>
      <c r="Y14" s="43"/>
      <c r="Z14" s="43"/>
      <c r="AA14" s="55"/>
      <c r="AB14" s="64"/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6"/>
      <c r="K26" s="35" t="s">
        <v>119</v>
      </c>
      <c r="L26" s="36"/>
      <c r="M26" s="36" t="s">
        <v>114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66</v>
      </c>
      <c r="Y27" s="63" t="s">
        <v>144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102</v>
      </c>
      <c r="Y29" s="63" t="s">
        <v>151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105</v>
      </c>
      <c r="Y31" s="63" t="s">
        <v>150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152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145</v>
      </c>
      <c r="W32" s="61"/>
      <c r="X32" s="62" t="s">
        <v>65</v>
      </c>
      <c r="Y32" s="63" t="s">
        <v>106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153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115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61" t="s">
        <v>145</v>
      </c>
      <c r="W35" s="61"/>
      <c r="X35" s="62" t="s">
        <v>149</v>
      </c>
      <c r="Y35" s="63" t="s">
        <v>154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">
        <v>146</v>
      </c>
      <c r="D36" s="51" t="s">
        <v>116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">
        <v>146</v>
      </c>
      <c r="D37" s="51" t="s">
        <v>116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89" t="str">
        <f>X35</f>
        <v>DECELC</v>
      </c>
      <c r="C38" s="51" t="s">
        <v>152</v>
      </c>
      <c r="D38" s="51" t="s">
        <v>148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89" t="str">
        <f>X35</f>
        <v>DECELC</v>
      </c>
      <c r="C39" s="51" t="s">
        <v>153</v>
      </c>
      <c r="D39" s="51" t="s">
        <v>148</v>
      </c>
      <c r="E39" s="44">
        <v>2030</v>
      </c>
      <c r="F39" s="47">
        <v>1</v>
      </c>
      <c r="G39" s="47">
        <v>1</v>
      </c>
      <c r="H39" s="44">
        <v>100</v>
      </c>
      <c r="I39" s="65">
        <v>0</v>
      </c>
      <c r="J39" s="46">
        <v>0</v>
      </c>
      <c r="K39" s="47">
        <v>0</v>
      </c>
      <c r="L39" s="65">
        <v>8.76</v>
      </c>
      <c r="M39" s="69"/>
      <c r="N39" s="69"/>
      <c r="O39" s="65"/>
      <c r="P39" s="65"/>
      <c r="Q39" s="65"/>
      <c r="R39" s="69"/>
      <c r="S39" s="44"/>
      <c r="V39" s="46"/>
      <c r="W39" s="46"/>
      <c r="X39" s="46"/>
      <c r="Y39" s="46"/>
      <c r="Z39" s="46"/>
      <c r="AA39" s="46"/>
      <c r="AC39" s="46"/>
      <c r="AD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/>
      <c r="C43" s="51"/>
      <c r="D43" s="87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/>
      <c r="C44" s="51"/>
      <c r="D44" s="87"/>
      <c r="E44" s="44"/>
      <c r="F44" s="65"/>
      <c r="G44" s="65"/>
      <c r="H44" s="44"/>
      <c r="I44" s="65"/>
      <c r="J44" s="65"/>
      <c r="K44" s="65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F45" s="65"/>
      <c r="G45" s="65"/>
      <c r="H45" s="44"/>
      <c r="I45" s="65"/>
      <c r="J45" s="65"/>
      <c r="K45" s="65"/>
      <c r="L45" s="65"/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46"/>
      <c r="W48" s="46"/>
      <c r="X48" s="46"/>
      <c r="Y48" s="46"/>
      <c r="Z48" s="51"/>
      <c r="AA48" s="51"/>
      <c r="AB48" s="64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X49" s="46"/>
      <c r="Z49" s="55"/>
      <c r="AA49" s="55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123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124</v>
      </c>
      <c r="C67" s="75" t="s">
        <v>125</v>
      </c>
      <c r="D67" s="75" t="s">
        <v>11</v>
      </c>
      <c r="E67" s="75" t="s">
        <v>118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94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93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65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126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102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105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111</v>
      </c>
      <c r="C74" t="s">
        <v>66</v>
      </c>
      <c r="D74" t="s">
        <v>127</v>
      </c>
      <c r="E74" s="1" t="s">
        <v>128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111</v>
      </c>
      <c r="C75" t="s">
        <v>103</v>
      </c>
      <c r="D75" t="s">
        <v>127</v>
      </c>
      <c r="E75" s="1" t="s">
        <v>128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2026-02-17T09:17:24Z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