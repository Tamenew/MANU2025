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73136EEC-7959-408F-9254-4013CAE84EA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" l="1"/>
  <c r="B36" i="7"/>
  <c r="B37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<sst xmlns="http://schemas.openxmlformats.org/spreadsheetml/2006/main" count="356" uniqueCount="158">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</sst>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B26" zoomScale="118" zoomScaleNormal="118" workbookViewId="0">
      <selection activeCell="D38" sqref="D3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X5" s="46" t="s">
        <v>150</v>
      </c>
      <c r="Y5" s="79" t="s">
        <v>151</v>
      </c>
      <c r="Z5" s="79" t="s">
        <v>58</v>
      </c>
      <c r="AB5" s="79" t="s">
        <v>88</v>
      </c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149</v>
      </c>
      <c r="Y6" s="79" t="s">
        <v>152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46" t="s">
        <v>69</v>
      </c>
      <c r="X7" s="46" t="s">
        <v>155</v>
      </c>
      <c r="Y7" s="46" t="s">
        <v>156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  <c r="V11" s="42"/>
      <c r="W11" s="42"/>
      <c r="X11" s="42"/>
      <c r="Y11" s="42"/>
      <c r="Z11" s="42"/>
      <c r="AA11" s="41"/>
      <c r="AB11" s="64"/>
      <c r="AC11" s="41"/>
      <c r="AD11" s="41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55"/>
      <c r="AB12" s="64"/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/>
      <c r="W13" s="43"/>
      <c r="X13" s="43"/>
      <c r="Y13" s="43"/>
      <c r="Z13" s="43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79"/>
      <c r="W14" s="79"/>
      <c r="X14" s="79"/>
      <c r="Y14" s="79"/>
      <c r="Z14" s="79"/>
      <c r="AA14" s="79"/>
      <c r="AB14" s="79"/>
      <c r="AC14" s="79"/>
      <c r="AD14" s="79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V16" s="46"/>
      <c r="W16" s="46"/>
      <c r="X16" s="46"/>
      <c r="Y16" s="46"/>
      <c r="Z16" s="46"/>
      <c r="AA16" s="46"/>
      <c r="AB16" s="46"/>
      <c r="AC16" s="46"/>
      <c r="AD16" s="46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V22" s="50" t="s">
        <v>17</v>
      </c>
      <c r="W22" s="50"/>
      <c r="X22" s="51"/>
      <c r="Y22" s="51"/>
      <c r="Z22" s="51"/>
      <c r="AA22" s="51"/>
      <c r="AB22" s="51"/>
      <c r="AC22" s="51"/>
      <c r="AD22" s="51"/>
    </row>
    <row r="23" spans="2:51" x14ac:dyDescent="0.25">
      <c r="D23" s="56" t="s">
        <v>0</v>
      </c>
      <c r="E23" s="56"/>
      <c r="F23" s="56"/>
      <c r="H23" s="56"/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thickBot="1" x14ac:dyDescent="0.3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5" t="s">
        <v>121</v>
      </c>
      <c r="K26" s="35" t="s">
        <v>154</v>
      </c>
      <c r="L26" s="36"/>
      <c r="M26" s="36" t="s">
        <v>114</v>
      </c>
      <c r="N26" s="35"/>
      <c r="O26" s="36"/>
      <c r="P26" s="36"/>
      <c r="Q26" s="36"/>
      <c r="R26" s="35"/>
      <c r="S26" s="77"/>
      <c r="V26" s="61" t="s">
        <v>145</v>
      </c>
      <c r="W26" s="61"/>
      <c r="X26" s="62" t="s">
        <v>66</v>
      </c>
      <c r="Y26" s="63" t="s">
        <v>144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Y26" s="47"/>
    </row>
    <row r="27" spans="2:51" x14ac:dyDescent="0.25">
      <c r="B27" s="46" t="str">
        <f>X26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X$27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102</v>
      </c>
      <c r="Y28" s="63" t="s">
        <v>148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X30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X28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105</v>
      </c>
      <c r="Y30" s="63" t="s">
        <v>147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X29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65</v>
      </c>
      <c r="Y31" s="63" t="s">
        <v>106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X32</f>
        <v>WNDTRBN</v>
      </c>
      <c r="C32" s="46" t="str">
        <f>PRI_Sector_Fuels!D28</f>
        <v>WIND</v>
      </c>
      <c r="D32" s="51" t="s">
        <v>149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>
        <v>0</v>
      </c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X33</f>
        <v>SOLPV</v>
      </c>
      <c r="C33" s="46" t="str">
        <f>PRI_Sector_Fuels!D29</f>
        <v>SOLAR</v>
      </c>
      <c r="D33" s="51" t="s">
        <v>150</v>
      </c>
      <c r="E33" s="44">
        <v>2030</v>
      </c>
      <c r="F33" s="86">
        <v>0.17</v>
      </c>
      <c r="G33" s="65">
        <v>0.99</v>
      </c>
      <c r="H33" s="44">
        <v>25</v>
      </c>
      <c r="I33" s="65">
        <v>691</v>
      </c>
      <c r="J33" s="65">
        <v>6.99</v>
      </c>
      <c r="K33" s="65">
        <v>0</v>
      </c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X31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0.34</v>
      </c>
      <c r="G34" s="65">
        <v>1</v>
      </c>
      <c r="H34" s="44">
        <v>25</v>
      </c>
      <c r="I34" s="65">
        <v>3677</v>
      </c>
      <c r="J34" s="65">
        <v>0</v>
      </c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146</v>
      </c>
      <c r="Y34" s="63" t="s">
        <v>153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X29</f>
        <v>GASBoiler</v>
      </c>
      <c r="C35" s="46"/>
      <c r="D35" s="51" t="s">
        <v>115</v>
      </c>
      <c r="E35" s="44">
        <v>2030</v>
      </c>
      <c r="F35" s="86">
        <v>1</v>
      </c>
      <c r="G35" s="65">
        <v>1</v>
      </c>
      <c r="H35" s="44">
        <v>25</v>
      </c>
      <c r="I35" s="65">
        <v>0</v>
      </c>
      <c r="J35" s="65">
        <v>0</v>
      </c>
      <c r="K35" s="65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 t="s">
        <v>69</v>
      </c>
      <c r="W35" s="61"/>
      <c r="X35" s="62" t="s">
        <v>157</v>
      </c>
      <c r="Y35" s="63" t="s">
        <v>156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88" t="str">
        <f>X34</f>
        <v>DECELC</v>
      </c>
      <c r="C36" s="51" t="s">
        <v>149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88" t="str">
        <f>X34</f>
        <v>DECELC</v>
      </c>
      <c r="C37" s="51" t="s">
        <v>150</v>
      </c>
      <c r="D37" s="51" t="s">
        <v>69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 t="str">
        <f>X35</f>
        <v>BIOPOWER</v>
      </c>
      <c r="C38" s="51" t="s">
        <v>68</v>
      </c>
      <c r="D38" s="51" t="s">
        <v>155</v>
      </c>
      <c r="E38" s="44">
        <v>2030</v>
      </c>
      <c r="F38" s="47">
        <v>0.35</v>
      </c>
      <c r="G38" s="47">
        <v>0.98</v>
      </c>
      <c r="H38" s="44">
        <v>20</v>
      </c>
      <c r="I38" s="89">
        <v>3242</v>
      </c>
      <c r="J38" s="65">
        <v>129.68</v>
      </c>
      <c r="K38" s="65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46"/>
      <c r="W38" s="46"/>
      <c r="X38" s="46"/>
      <c r="Y38" s="46"/>
      <c r="Z38" s="46"/>
      <c r="AA38" s="46"/>
      <c r="AC38" s="46"/>
      <c r="AD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 t="s">
        <v>146</v>
      </c>
      <c r="C39" s="46" t="s">
        <v>155</v>
      </c>
      <c r="D39" s="51" t="s">
        <v>69</v>
      </c>
      <c r="E39" s="44">
        <v>2030</v>
      </c>
      <c r="F39" s="86">
        <v>1</v>
      </c>
      <c r="G39" s="65">
        <v>1</v>
      </c>
      <c r="H39" s="47">
        <v>100</v>
      </c>
      <c r="I39" s="47">
        <v>0</v>
      </c>
      <c r="J39" s="47">
        <v>0</v>
      </c>
      <c r="K39" s="47">
        <v>0</v>
      </c>
      <c r="L39" s="47">
        <v>0</v>
      </c>
      <c r="M39" s="69"/>
      <c r="N39" s="69"/>
      <c r="O39" s="65"/>
      <c r="P39" s="65"/>
      <c r="Q39" s="65"/>
      <c r="R39" s="69"/>
      <c r="S39" s="44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46"/>
      <c r="C40" s="51"/>
      <c r="D40" s="87"/>
      <c r="E40" s="44"/>
      <c r="F40" s="65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V40" s="46"/>
      <c r="W40" s="46"/>
      <c r="X40" s="46"/>
      <c r="Y40" s="46"/>
      <c r="Z40" s="46"/>
      <c r="AA40" s="46"/>
      <c r="AB40" s="46"/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/>
      <c r="C41" s="51"/>
      <c r="D41" s="87"/>
      <c r="E41" s="44"/>
      <c r="F41" s="65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51"/>
      <c r="C43" s="51"/>
      <c r="D43" s="51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M45" s="44"/>
      <c r="N45" s="69"/>
      <c r="O45" s="44"/>
      <c r="P45" s="44"/>
      <c r="Q45" s="44"/>
      <c r="R45" s="44"/>
      <c r="S45" s="44"/>
      <c r="V45" s="38"/>
      <c r="W45" s="38"/>
      <c r="X45" s="39"/>
      <c r="Y45" s="40"/>
      <c r="Z45" s="38"/>
      <c r="AA45" s="38"/>
      <c r="AB45" s="38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46"/>
      <c r="C46" s="51"/>
      <c r="D46" s="51"/>
      <c r="E46" s="65"/>
      <c r="F46" s="66"/>
      <c r="K46" s="46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65"/>
      <c r="F47" s="66"/>
      <c r="J47" s="67"/>
      <c r="K47" s="46"/>
      <c r="N47" s="66"/>
      <c r="V47" s="46"/>
      <c r="W47" s="46"/>
      <c r="X47" s="46"/>
      <c r="Y47" s="46"/>
      <c r="Z47" s="51"/>
      <c r="AA47" s="51"/>
      <c r="AB47" s="64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46"/>
      <c r="D48" s="51"/>
      <c r="E48" s="65"/>
      <c r="F48" s="68"/>
      <c r="G48" s="46"/>
      <c r="H48" s="46"/>
      <c r="I48" s="46"/>
      <c r="J48" s="69"/>
      <c r="K48" s="46"/>
      <c r="V48" s="46"/>
      <c r="X48" s="46"/>
      <c r="Z48" s="55"/>
      <c r="AA48" s="55"/>
      <c r="AB48" s="46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46"/>
      <c r="C49" s="46"/>
      <c r="D49" s="46"/>
      <c r="E49" s="65"/>
      <c r="F49" s="68"/>
      <c r="G49" s="46"/>
      <c r="H49" s="46"/>
      <c r="I49" s="46"/>
      <c r="J49" s="69"/>
      <c r="K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F50" s="68"/>
      <c r="G50" s="44"/>
      <c r="H50" s="70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H51" s="70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B52" s="71"/>
      <c r="C52" s="46" t="s">
        <v>82</v>
      </c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B53" s="72"/>
      <c r="C53" s="46" t="s">
        <v>83</v>
      </c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E54" s="46" t="s">
        <v>89</v>
      </c>
      <c r="F54" s="46" t="s">
        <v>90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91</v>
      </c>
      <c r="F56" s="46">
        <f>24*365</f>
        <v>8760</v>
      </c>
      <c r="AI56"/>
      <c r="AJ56"/>
      <c r="AK56" s="39"/>
      <c r="AL56" s="39"/>
      <c r="AQ56"/>
      <c r="AR56"/>
      <c r="AS56" s="39"/>
      <c r="AT56" s="39"/>
    </row>
    <row r="57" spans="1:48" x14ac:dyDescent="0.25">
      <c r="E57" s="44"/>
      <c r="AI57"/>
      <c r="AJ57"/>
      <c r="AK57" s="39"/>
      <c r="AL57" s="39"/>
      <c r="AQ57"/>
      <c r="AR57"/>
      <c r="AS57" s="39"/>
      <c r="AT57" s="39"/>
    </row>
    <row r="58" spans="1:48" x14ac:dyDescent="0.25">
      <c r="AI58"/>
      <c r="AJ58"/>
      <c r="AK58" s="39"/>
      <c r="AL58" s="39"/>
      <c r="AQ58"/>
      <c r="AR58"/>
      <c r="AS58" s="39"/>
      <c r="AT58" s="39"/>
    </row>
    <row r="59" spans="1:48" x14ac:dyDescent="0.25"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B64" s="74" t="s">
        <v>123</v>
      </c>
      <c r="C64" s="74"/>
      <c r="D64"/>
      <c r="E64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ht="13.8" thickBot="1" x14ac:dyDescent="0.3">
      <c r="B65" s="75" t="s">
        <v>124</v>
      </c>
      <c r="C65" s="75" t="s">
        <v>125</v>
      </c>
      <c r="D65" s="75" t="s">
        <v>11</v>
      </c>
      <c r="E65" s="75" t="s">
        <v>118</v>
      </c>
      <c r="F65" s="75">
        <v>2022</v>
      </c>
      <c r="G65" s="75">
        <v>2025</v>
      </c>
      <c r="H65" s="75">
        <v>2030</v>
      </c>
      <c r="I65" s="75">
        <v>2035</v>
      </c>
      <c r="J65" s="75">
        <v>2040</v>
      </c>
      <c r="K65" s="75">
        <v>2045</v>
      </c>
      <c r="L65" s="75">
        <v>2050</v>
      </c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111</v>
      </c>
      <c r="C66" t="s">
        <v>94</v>
      </c>
      <c r="D66" t="s">
        <v>127</v>
      </c>
      <c r="E66" s="1" t="s">
        <v>128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111</v>
      </c>
      <c r="C67" t="s">
        <v>93</v>
      </c>
      <c r="D67" t="s">
        <v>127</v>
      </c>
      <c r="E67" s="1" t="s">
        <v>128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65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126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102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105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66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103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V78" s="47"/>
      <c r="W78" s="47"/>
      <c r="X78" s="47"/>
      <c r="Y78" s="47"/>
      <c r="Z78" s="47"/>
      <c r="AA78" s="47"/>
      <c r="AB78" s="47"/>
      <c r="AC78" s="47"/>
      <c r="AD78" s="47"/>
      <c r="AI78"/>
      <c r="AJ78"/>
      <c r="AK78" s="39"/>
      <c r="AL78" s="39"/>
      <c r="AQ78"/>
      <c r="AR78"/>
      <c r="AS78" s="39"/>
      <c r="AT78" s="39"/>
    </row>
    <row r="79" spans="1:48" x14ac:dyDescent="0.25">
      <c r="B79"/>
      <c r="C79"/>
      <c r="E79" s="74"/>
      <c r="F79" s="74"/>
      <c r="G79" s="1"/>
      <c r="H79"/>
      <c r="I79" s="74"/>
      <c r="J79"/>
      <c r="K79"/>
      <c r="L79" s="74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82"/>
      <c r="C80" s="82"/>
      <c r="D80" s="82"/>
      <c r="E80" s="82"/>
      <c r="F80" s="82"/>
      <c r="G80" s="82"/>
      <c r="H80" s="83"/>
      <c r="I80" s="82"/>
      <c r="J80" s="82"/>
      <c r="K80" s="82"/>
      <c r="L80" s="82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 s="84"/>
      <c r="C81" s="85"/>
      <c r="D81" s="84"/>
      <c r="E81" s="84"/>
      <c r="F81" s="84"/>
      <c r="G81" s="84"/>
      <c r="H81" s="83"/>
      <c r="I81" s="84"/>
      <c r="J81" s="84"/>
      <c r="K81" s="85"/>
      <c r="L81" s="85"/>
      <c r="M81" s="74"/>
      <c r="N81" s="74"/>
      <c r="O81" s="1"/>
      <c r="P81" s="46"/>
      <c r="Q81" s="46"/>
      <c r="R81" s="46"/>
      <c r="S81" s="46"/>
      <c r="V81" s="46"/>
      <c r="W81" s="46"/>
      <c r="X81" s="46"/>
      <c r="Y81" s="46"/>
      <c r="Z81" s="46"/>
      <c r="AA81" s="46"/>
      <c r="AB81" s="46"/>
      <c r="AC81" s="46"/>
      <c r="AD81" s="46"/>
      <c r="AI81" s="43"/>
      <c r="AJ81" s="43"/>
      <c r="AK81" s="55"/>
    </row>
    <row r="82" spans="1:37" s="47" customFormat="1" x14ac:dyDescent="0.25">
      <c r="A82" s="82"/>
      <c r="B82" s="84"/>
      <c r="C82" s="84"/>
      <c r="D82" s="84"/>
      <c r="E82" s="84"/>
      <c r="F82" s="84"/>
      <c r="G82" s="84"/>
      <c r="H82" s="83"/>
      <c r="I82" s="84"/>
      <c r="J82" s="84"/>
      <c r="K82" s="84"/>
      <c r="L82" s="84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/>
      <c r="C83" s="39"/>
      <c r="D83" s="39"/>
      <c r="H83"/>
      <c r="I83"/>
      <c r="J83"/>
      <c r="K83" s="39"/>
      <c r="L83" s="39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/>
      <c r="C84" s="39"/>
      <c r="D84" s="39"/>
      <c r="H84" s="81"/>
      <c r="I84"/>
      <c r="J84"/>
      <c r="K84" s="39"/>
      <c r="L84" s="39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AI131" s="38"/>
      <c r="AJ131" s="38"/>
      <c r="AK131" s="51"/>
    </row>
    <row r="132" spans="1:37" x14ac:dyDescent="0.25">
      <c r="A132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2026-02-22T12:21:34Z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