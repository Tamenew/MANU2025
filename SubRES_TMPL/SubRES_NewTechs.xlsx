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IND001\INDIND\SubRES_TMPL\"/>
    </mc:Choice>
  </mc:AlternateContent>
  <xr:revisionPtr revIDLastSave="0" documentId="13_ncr:1_{806E99E8-A010-4C95-B80D-4D66E313A9C9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PRI_Sector_Fuels" sheetId="6" r:id="rId1"/>
    <sheet name="DemTechs_INDF" sheetId="7" r:id="rId2"/>
  </sheets>
  <definedNames>
    <definedName name="FID_1">#REF!</definedName>
  </definedNames>
  <calcPr calcId="191029" calcOnSave="0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0" i="7" l="1"/>
  <c r="C29" i="7"/>
  <c r="C28" i="7"/>
  <c r="D20" i="7"/>
  <c r="B31" i="7"/>
  <c r="B30" i="7"/>
  <c r="B29" i="7"/>
  <c r="B28" i="7"/>
  <c r="C24" i="7"/>
  <c r="D27" i="7"/>
  <c r="D22" i="7"/>
  <c r="D21" i="7"/>
  <c r="B27" i="6"/>
  <c r="B27" i="7"/>
  <c r="B26" i="7"/>
  <c r="B25" i="7"/>
  <c r="D39" i="6"/>
  <c r="B24" i="7"/>
  <c r="D27" i="6"/>
  <c r="D26" i="6"/>
  <c r="B39" i="6"/>
  <c r="B22" i="7"/>
  <c r="D41" i="6"/>
  <c r="D40" i="6"/>
  <c r="B41" i="6"/>
  <c r="B40" i="6"/>
  <c r="C39" i="6"/>
  <c r="C38" i="6"/>
  <c r="C37" i="6"/>
  <c r="B23" i="7"/>
  <c r="B21" i="7"/>
  <c r="C23" i="7"/>
  <c r="C21" i="7"/>
  <c r="B20" i="7"/>
  <c r="B37" i="6"/>
  <c r="B38" i="6"/>
  <c r="Q27" i="6"/>
  <c r="F44" i="7"/>
  <c r="D2" i="7"/>
  <c r="Q26" i="6"/>
  <c r="B26" i="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N3" authorId="0" shapeId="0" xr:uid="{2A19E25C-9533-4C9F-A407-57D984DCF506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S3" authorId="1" shapeId="0" xr:uid="{F7F5F318-75A1-4325-A88B-2F82BF3DD5FC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T3" authorId="2" shapeId="0" xr:uid="{53BB6E19-8339-471B-8B5C-196BDFD2E19C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U3" authorId="2" shapeId="0" xr:uid="{11D04B3A-3D96-45B8-B9E2-F02C1D38F09E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V3" authorId="2" shapeId="0" xr:uid="{EC1F27C8-E4A5-4958-8210-00C9EAD805E1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J23" authorId="2" shapeId="0" xr:uid="{08A0A247-5B70-4F6A-BE7F-DF9684B12478}">
      <text>
        <r>
          <rPr>
            <sz val="8"/>
            <color indexed="81"/>
            <rFont val="Tahoma"/>
            <family val="2"/>
          </rPr>
          <t xml:space="preserve">This attribute is used to assign a production limit by period.
By defautt is defined like fixed share
</t>
        </r>
        <r>
          <rPr>
            <b/>
            <sz val="8"/>
            <color indexed="81"/>
            <rFont val="Tahoma"/>
            <family val="2"/>
          </rPr>
          <t>UP</t>
        </r>
        <r>
          <rPr>
            <sz val="8"/>
            <color indexed="81"/>
            <rFont val="Tahoma"/>
            <family val="2"/>
          </rPr>
          <t xml:space="preserve">
If you want fix or lower add
</t>
        </r>
        <r>
          <rPr>
            <b/>
            <sz val="8"/>
            <color indexed="81"/>
            <rFont val="Tahoma"/>
            <family val="2"/>
          </rPr>
          <t>~FX
~LO</t>
        </r>
      </text>
    </comment>
    <comment ref="T23" authorId="2" shapeId="0" xr:uid="{89F66F35-9E7D-4CFE-82E2-FED540200A65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U23" authorId="1" shapeId="0" xr:uid="{BFBE1E56-B2CF-4342-9D18-7A5625043F27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V23" authorId="2" shapeId="0" xr:uid="{32A4C634-AF1C-4AC8-8B25-E2B72657AC1B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N24" authorId="2" shapeId="0" xr:uid="{CC49012E-D54F-4799-8BAE-EA97B5C3A29A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Q3" authorId="0" shapeId="0" xr:uid="{55A1C4CC-2CE1-4EC9-89C3-19F6C183A19B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V3" authorId="1" shapeId="0" xr:uid="{B2B38135-7F48-40C5-9C6D-9368B3BD2092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W3" authorId="2" shapeId="0" xr:uid="{345773E6-DE00-4CE0-B8BB-8B089B629421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X3" authorId="2" shapeId="0" xr:uid="{31DAF2B0-786F-4E95-9CBB-D182F2EED3B5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Y3" authorId="2" shapeId="0" xr:uid="{555C1793-7B9E-49B9-8EB3-17347BDEF241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W17" authorId="2" shapeId="0" xr:uid="{5EE58488-723F-4683-9026-2F0EE70F8071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X17" authorId="1" shapeId="0" xr:uid="{308E9284-8F99-498B-A3DD-262799AF67EB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Y17" authorId="2" shapeId="0" xr:uid="{FD29F772-15B8-47C4-8D7A-88CCF8F71647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Q18" authorId="2" shapeId="0" xr:uid="{BAA0F8AB-741B-4302-9E54-000CB5DC4ACF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sharedStrings.xml><?xml version="1.0" encoding="utf-8"?>
<sst xmlns="http://schemas.openxmlformats.org/spreadsheetml/2006/main" count="304" uniqueCount="143">
  <si>
    <t>~FI_T</t>
  </si>
  <si>
    <t>TechName</t>
  </si>
  <si>
    <t>TechDesc</t>
  </si>
  <si>
    <t>Comm-IN</t>
  </si>
  <si>
    <t>Comm-OUT</t>
  </si>
  <si>
    <t>FIXOM</t>
  </si>
  <si>
    <t>CommName</t>
  </si>
  <si>
    <t>~FI_Comm</t>
  </si>
  <si>
    <t>Csets</t>
  </si>
  <si>
    <t>CommDesc</t>
  </si>
  <si>
    <t>Unit</t>
  </si>
  <si>
    <t>LimType</t>
  </si>
  <si>
    <t>CTSLvl</t>
  </si>
  <si>
    <t>PeakTS</t>
  </si>
  <si>
    <t>Ctype</t>
  </si>
  <si>
    <t>Sets</t>
  </si>
  <si>
    <t>EFF</t>
  </si>
  <si>
    <t>~FI_Process</t>
  </si>
  <si>
    <t>Tact</t>
  </si>
  <si>
    <t>Tcap</t>
  </si>
  <si>
    <t>Tslvl</t>
  </si>
  <si>
    <t>PrimaryCG</t>
  </si>
  <si>
    <t>Vintage</t>
  </si>
  <si>
    <t>Commodity Name</t>
  </si>
  <si>
    <t>Commodity Description</t>
  </si>
  <si>
    <t>Peak Monitoring</t>
  </si>
  <si>
    <t>Electricity Indicator</t>
  </si>
  <si>
    <t>Technology Name</t>
  </si>
  <si>
    <t>Technology Description</t>
  </si>
  <si>
    <t>Activity Unit</t>
  </si>
  <si>
    <t>Capacity Unit</t>
  </si>
  <si>
    <t>Vintage Tracking</t>
  </si>
  <si>
    <t>Input Commodity</t>
  </si>
  <si>
    <t>Output Commodity</t>
  </si>
  <si>
    <t>AFA</t>
  </si>
  <si>
    <t>Efficiency</t>
  </si>
  <si>
    <t>INVCOST</t>
  </si>
  <si>
    <t>Fixed O&amp;M Cost</t>
  </si>
  <si>
    <t>Sector Name</t>
  </si>
  <si>
    <t>Description</t>
  </si>
  <si>
    <t>Type</t>
  </si>
  <si>
    <t>Currency Unit</t>
  </si>
  <si>
    <t>Region</t>
  </si>
  <si>
    <t>*Commodity Set Membership</t>
  </si>
  <si>
    <t>Region Name</t>
  </si>
  <si>
    <t>Sense of the Balance EQN.</t>
  </si>
  <si>
    <t>Timeslice Level</t>
  </si>
  <si>
    <t>LIFE</t>
  </si>
  <si>
    <t>*Technology Name</t>
  </si>
  <si>
    <t>Utilisation Factor</t>
  </si>
  <si>
    <t>*Process Set Membership</t>
  </si>
  <si>
    <t>TimeSlice level of Process Activity</t>
  </si>
  <si>
    <t>Primary Commodity Group</t>
  </si>
  <si>
    <t>*Units</t>
  </si>
  <si>
    <t>Years</t>
  </si>
  <si>
    <t>Year</t>
  </si>
  <si>
    <t>CAP2ACT</t>
  </si>
  <si>
    <t>Lifetime</t>
  </si>
  <si>
    <t>GWh</t>
  </si>
  <si>
    <t>NRG</t>
  </si>
  <si>
    <t>GAS</t>
  </si>
  <si>
    <t>BIO</t>
  </si>
  <si>
    <t>Biomass</t>
  </si>
  <si>
    <t>SOL</t>
  </si>
  <si>
    <t>MIN</t>
  </si>
  <si>
    <t>CSP</t>
  </si>
  <si>
    <t>Furnace</t>
  </si>
  <si>
    <t>MANGASMIN</t>
  </si>
  <si>
    <t>MANBIOMIN</t>
  </si>
  <si>
    <t>ELC</t>
  </si>
  <si>
    <t>Commodity</t>
  </si>
  <si>
    <t>Default Unit</t>
  </si>
  <si>
    <t>WIND</t>
  </si>
  <si>
    <t>Wind</t>
  </si>
  <si>
    <t>Solar</t>
  </si>
  <si>
    <t>Ngas</t>
  </si>
  <si>
    <t>COST</t>
  </si>
  <si>
    <t>ACT_BND</t>
  </si>
  <si>
    <t>Cost</t>
  </si>
  <si>
    <t>Annual Production Bound</t>
  </si>
  <si>
    <t>conversion factor from cap to act</t>
  </si>
  <si>
    <t>TH2022USD/GWh</t>
  </si>
  <si>
    <t>*</t>
  </si>
  <si>
    <t>User inputs</t>
  </si>
  <si>
    <t>Linked to the Energy Balance</t>
  </si>
  <si>
    <t>Existing</t>
  </si>
  <si>
    <t>Input Share</t>
  </si>
  <si>
    <t>Inestment Cost</t>
  </si>
  <si>
    <t>MW</t>
  </si>
  <si>
    <t>DayNite</t>
  </si>
  <si>
    <t>GW per annum</t>
  </si>
  <si>
    <t>Annual energy consumption devided by the product of annual hours*effficiency</t>
  </si>
  <si>
    <t>Annual operating hours</t>
  </si>
  <si>
    <t>Natural Gas/Domestic</t>
  </si>
  <si>
    <t>WNDTRBN</t>
  </si>
  <si>
    <t>SOLPV</t>
  </si>
  <si>
    <t>Electricity from Solar PV</t>
  </si>
  <si>
    <t>Electricity from wind</t>
  </si>
  <si>
    <t>N</t>
  </si>
  <si>
    <t>MAN</t>
  </si>
  <si>
    <t>Mamufacturing</t>
  </si>
  <si>
    <t>TH$2022</t>
  </si>
  <si>
    <t>Biomass boiler</t>
  </si>
  <si>
    <t>Wind Energy</t>
  </si>
  <si>
    <t>Solar Energy</t>
  </si>
  <si>
    <t>MINWIND</t>
  </si>
  <si>
    <t>MINSOL</t>
  </si>
  <si>
    <t>Solar radation-domestic</t>
  </si>
  <si>
    <t>Wind Supply-domestic</t>
  </si>
  <si>
    <t>SOLAR</t>
  </si>
  <si>
    <r>
      <t>Share-I~UP</t>
    </r>
    <r>
      <rPr>
        <b/>
        <sz val="10"/>
        <color rgb="FFFF0000"/>
        <rFont val="Arial"/>
        <family val="2"/>
      </rPr>
      <t>~2030</t>
    </r>
  </si>
  <si>
    <t>BIOBoiler</t>
  </si>
  <si>
    <t>BIOKiln</t>
  </si>
  <si>
    <t>GASBoiler</t>
  </si>
  <si>
    <t>Gas boiler</t>
  </si>
  <si>
    <t>ELCBoiler</t>
  </si>
  <si>
    <t>Electricity boiler</t>
  </si>
  <si>
    <t>Biomass kiln</t>
  </si>
  <si>
    <t>Industrial heat supplier using electricity</t>
  </si>
  <si>
    <t>Manufacturing heat from Solar</t>
  </si>
  <si>
    <t>HEAT</t>
  </si>
  <si>
    <t>ELCHEAT</t>
  </si>
  <si>
    <t>SOLHEAT</t>
  </si>
  <si>
    <t>BIOHEAT</t>
  </si>
  <si>
    <t>Electricity based process heat</t>
  </si>
  <si>
    <t>Bio based process heat</t>
  </si>
  <si>
    <t>Solar thermal for process heat</t>
  </si>
  <si>
    <t>TH2022USD/MW</t>
  </si>
  <si>
    <t>VAROM</t>
  </si>
  <si>
    <t>Variable O&amp;M Cost</t>
  </si>
  <si>
    <t>MINBIO</t>
  </si>
  <si>
    <t>MINGAS</t>
  </si>
  <si>
    <t>ETH</t>
  </si>
  <si>
    <t>ENV_ACT</t>
  </si>
  <si>
    <t>Activity Emission Coefficient</t>
  </si>
  <si>
    <t>ktCO₂/GWh</t>
  </si>
  <si>
    <t>MANCO2</t>
  </si>
  <si>
    <t>RNWHEAT</t>
  </si>
  <si>
    <t>DECELC</t>
  </si>
  <si>
    <t>Decenteralized Renewable electricity</t>
  </si>
  <si>
    <t>Renewable Heat Aggrigator</t>
  </si>
  <si>
    <t>MANHEAT</t>
  </si>
  <si>
    <t>CEMENTHEAT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</si>
</sst>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-* #,##0.00_-;\-* #,##0.00_-;_-* &quot;-&quot;??_-;_-@_-"/>
    <numFmt numFmtId="165" formatCode="\Te\x\t"/>
    <numFmt numFmtId="166" formatCode="0.000"/>
    <numFmt numFmtId="167" formatCode="0.0"/>
  </numFmts>
  <fonts count="22" x14ac:knownFonts="1">
    <font>
      <sz val="10"/>
      <name val="Arial"/>
    </font>
    <font>
      <sz val="11"/>
      <color theme="1"/>
      <name val="Calibri"/>
      <family val="2"/>
      <scheme val="minor"/>
    </font>
    <font>
      <sz val="10"/>
      <name val="Courier"/>
      <family val="3"/>
    </font>
    <font>
      <b/>
      <sz val="10"/>
      <color indexed="12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sz val="8"/>
      <color theme="1"/>
      <name val="Arial"/>
      <family val="2"/>
    </font>
    <font>
      <sz val="10"/>
      <color rgb="FFFF0000"/>
      <name val="Arial"/>
      <family val="2"/>
    </font>
    <font>
      <sz val="11"/>
      <color rgb="FF9C6500"/>
      <name val="Calibri"/>
      <family val="2"/>
      <scheme val="minor"/>
    </font>
    <font>
      <sz val="8"/>
      <color indexed="81"/>
      <name val="Tahoma"/>
      <family val="2"/>
    </font>
    <font>
      <b/>
      <sz val="8"/>
      <color indexed="81"/>
      <name val="Tahoma"/>
      <family val="2"/>
    </font>
    <font>
      <b/>
      <sz val="10"/>
      <color rgb="FFFF0000"/>
      <name val="Arial"/>
      <family val="2"/>
    </font>
    <font>
      <sz val="10"/>
      <color rgb="FF00B050"/>
      <name val="Arial"/>
      <family val="2"/>
    </font>
    <font>
      <sz val="10"/>
      <color theme="1"/>
      <name val="Arial"/>
      <family val="2"/>
    </font>
  </fonts>
  <fills count="13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5"/>
      </patternFill>
    </fill>
    <fill>
      <patternFill patternType="solid">
        <fgColor rgb="FFC6EFCE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EB9C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indexed="64"/>
      </patternFill>
    </fill>
  </fills>
  <borders count="5">
    <border>
      <left/>
      <right/>
      <top/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22">
    <xf numFmtId="0" fontId="0" fillId="0" borderId="0"/>
    <xf numFmtId="0" fontId="11" fillId="4" borderId="0" applyNumberFormat="0" applyBorder="0" applyAlignment="0" applyProtection="0"/>
    <xf numFmtId="164" fontId="10" fillId="0" borderId="0" applyFont="0" applyFill="0" applyBorder="0" applyAlignment="0" applyProtection="0"/>
    <xf numFmtId="0" fontId="12" fillId="5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10" fillId="0" borderId="0"/>
    <xf numFmtId="0" fontId="4" fillId="0" borderId="0"/>
    <xf numFmtId="0" fontId="2" fillId="0" borderId="0"/>
    <xf numFmtId="9" fontId="6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4" fillId="0" borderId="0"/>
    <xf numFmtId="0" fontId="1" fillId="3" borderId="0" applyNumberFormat="0" applyBorder="0" applyAlignment="0" applyProtection="0"/>
    <xf numFmtId="0" fontId="16" fillId="9" borderId="0" applyNumberFormat="0" applyBorder="0" applyAlignment="0" applyProtection="0"/>
    <xf numFmtId="0" fontId="1" fillId="3" borderId="0" applyNumberFormat="0" applyBorder="0" applyAlignment="0" applyProtection="0"/>
    <xf numFmtId="9" fontId="4" fillId="0" borderId="0" applyFont="0" applyFill="0" applyBorder="0" applyAlignment="0" applyProtection="0"/>
  </cellStyleXfs>
  <cellXfs count="93">
    <xf numFmtId="0" fontId="0" fillId="0" borderId="0" xfId="0"/>
    <xf numFmtId="0" fontId="4" fillId="0" borderId="0" xfId="0" applyFont="1"/>
    <xf numFmtId="0" fontId="3" fillId="0" borderId="0" xfId="6" applyFont="1" applyAlignment="1">
      <alignment horizontal="left"/>
    </xf>
    <xf numFmtId="0" fontId="11" fillId="4" borderId="0" xfId="1"/>
    <xf numFmtId="0" fontId="13" fillId="6" borderId="0" xfId="3" applyFont="1" applyFill="1"/>
    <xf numFmtId="0" fontId="5" fillId="2" borderId="2" xfId="6" applyFont="1" applyFill="1" applyBorder="1" applyAlignment="1">
      <alignment horizontal="left" vertical="center"/>
    </xf>
    <xf numFmtId="0" fontId="0" fillId="0" borderId="0" xfId="0" applyAlignment="1">
      <alignment wrapText="1"/>
    </xf>
    <xf numFmtId="0" fontId="11" fillId="4" borderId="0" xfId="1" applyAlignment="1">
      <alignment wrapText="1"/>
    </xf>
    <xf numFmtId="0" fontId="4" fillId="0" borderId="0" xfId="4"/>
    <xf numFmtId="0" fontId="15" fillId="0" borderId="0" xfId="4" applyFont="1"/>
    <xf numFmtId="1" fontId="4" fillId="0" borderId="0" xfId="4" applyNumberFormat="1"/>
    <xf numFmtId="165" fontId="3" fillId="0" borderId="0" xfId="0" applyNumberFormat="1" applyFont="1"/>
    <xf numFmtId="165" fontId="4" fillId="0" borderId="0" xfId="0" applyNumberFormat="1" applyFont="1"/>
    <xf numFmtId="165" fontId="5" fillId="2" borderId="2" xfId="0" applyNumberFormat="1" applyFont="1" applyFill="1" applyBorder="1" applyAlignment="1">
      <alignment horizontal="left"/>
    </xf>
    <xf numFmtId="165" fontId="5" fillId="2" borderId="3" xfId="0" applyNumberFormat="1" applyFont="1" applyFill="1" applyBorder="1" applyAlignment="1">
      <alignment horizontal="left"/>
    </xf>
    <xf numFmtId="165" fontId="0" fillId="0" borderId="0" xfId="0" applyNumberFormat="1"/>
    <xf numFmtId="165" fontId="4" fillId="0" borderId="0" xfId="4" applyNumberFormat="1"/>
    <xf numFmtId="2" fontId="15" fillId="0" borderId="0" xfId="4" applyNumberFormat="1" applyFont="1"/>
    <xf numFmtId="0" fontId="13" fillId="8" borderId="0" xfId="3" applyFont="1" applyFill="1"/>
    <xf numFmtId="165" fontId="15" fillId="0" borderId="0" xfId="0" applyNumberFormat="1" applyFont="1"/>
    <xf numFmtId="165" fontId="14" fillId="3" borderId="1" xfId="18" applyNumberFormat="1" applyFont="1" applyBorder="1" applyAlignment="1">
      <alignment horizontal="left" wrapText="1"/>
    </xf>
    <xf numFmtId="0" fontId="15" fillId="0" borderId="0" xfId="0" applyFont="1"/>
    <xf numFmtId="0" fontId="5" fillId="2" borderId="2" xfId="0" applyFont="1" applyFill="1" applyBorder="1" applyAlignment="1">
      <alignment horizontal="left"/>
    </xf>
    <xf numFmtId="0" fontId="5" fillId="2" borderId="3" xfId="0" applyFont="1" applyFill="1" applyBorder="1" applyAlignment="1">
      <alignment horizontal="left"/>
    </xf>
    <xf numFmtId="0" fontId="5" fillId="2" borderId="2" xfId="0" applyFont="1" applyFill="1" applyBorder="1" applyAlignment="1">
      <alignment horizontal="center"/>
    </xf>
    <xf numFmtId="0" fontId="14" fillId="3" borderId="1" xfId="18" applyFont="1" applyBorder="1" applyAlignment="1">
      <alignment horizontal="left" wrapText="1"/>
    </xf>
    <xf numFmtId="0" fontId="14" fillId="3" borderId="0" xfId="18" applyFont="1" applyBorder="1" applyAlignment="1">
      <alignment horizontal="left" wrapText="1"/>
    </xf>
    <xf numFmtId="0" fontId="14" fillId="3" borderId="1" xfId="18" applyFont="1" applyBorder="1" applyAlignment="1">
      <alignment horizontal="center" wrapText="1"/>
    </xf>
    <xf numFmtId="0" fontId="14" fillId="3" borderId="0" xfId="18" applyFont="1" applyBorder="1" applyAlignment="1">
      <alignment horizontal="center" wrapText="1"/>
    </xf>
    <xf numFmtId="165" fontId="14" fillId="3" borderId="1" xfId="18" applyNumberFormat="1" applyFont="1" applyBorder="1" applyAlignment="1">
      <alignment horizontal="center" wrapText="1"/>
    </xf>
    <xf numFmtId="0" fontId="4" fillId="7" borderId="0" xfId="19" applyFont="1" applyFill="1"/>
    <xf numFmtId="2" fontId="4" fillId="7" borderId="0" xfId="0" applyNumberFormat="1" applyFont="1" applyFill="1"/>
    <xf numFmtId="1" fontId="15" fillId="10" borderId="0" xfId="0" applyNumberFormat="1" applyFont="1" applyFill="1"/>
    <xf numFmtId="2" fontId="4" fillId="10" borderId="0" xfId="0" applyNumberFormat="1" applyFont="1" applyFill="1"/>
    <xf numFmtId="165" fontId="0" fillId="0" borderId="0" xfId="0" applyNumberFormat="1" applyAlignment="1">
      <alignment wrapText="1"/>
    </xf>
    <xf numFmtId="2" fontId="4" fillId="0" borderId="0" xfId="0" applyNumberFormat="1" applyFont="1"/>
    <xf numFmtId="1" fontId="15" fillId="7" borderId="0" xfId="19" applyNumberFormat="1" applyFont="1" applyFill="1"/>
    <xf numFmtId="165" fontId="15" fillId="0" borderId="0" xfId="0" applyNumberFormat="1" applyFont="1" applyAlignment="1">
      <alignment wrapText="1"/>
    </xf>
    <xf numFmtId="0" fontId="0" fillId="10" borderId="0" xfId="0" applyFill="1"/>
    <xf numFmtId="0" fontId="13" fillId="6" borderId="0" xfId="3" applyFont="1" applyFill="1" applyAlignment="1">
      <alignment wrapText="1"/>
    </xf>
    <xf numFmtId="165" fontId="3" fillId="0" borderId="0" xfId="4" applyNumberFormat="1" applyFont="1"/>
    <xf numFmtId="165" fontId="5" fillId="2" borderId="2" xfId="4" applyNumberFormat="1" applyFont="1" applyFill="1" applyBorder="1" applyAlignment="1">
      <alignment horizontal="left"/>
    </xf>
    <xf numFmtId="165" fontId="5" fillId="2" borderId="3" xfId="4" applyNumberFormat="1" applyFont="1" applyFill="1" applyBorder="1" applyAlignment="1">
      <alignment horizontal="left"/>
    </xf>
    <xf numFmtId="0" fontId="13" fillId="0" borderId="0" xfId="3" applyFont="1" applyFill="1"/>
    <xf numFmtId="165" fontId="14" fillId="3" borderId="1" xfId="20" applyNumberFormat="1" applyFont="1" applyBorder="1" applyAlignment="1">
      <alignment horizontal="left" wrapText="1"/>
    </xf>
    <xf numFmtId="0" fontId="5" fillId="2" borderId="2" xfId="6" applyFont="1" applyFill="1" applyBorder="1" applyAlignment="1">
      <alignment horizontal="center" vertical="center" wrapText="1"/>
    </xf>
    <xf numFmtId="0" fontId="5" fillId="2" borderId="2" xfId="7" applyFont="1" applyFill="1" applyBorder="1" applyAlignment="1">
      <alignment horizontal="center" vertical="center" wrapText="1"/>
    </xf>
    <xf numFmtId="0" fontId="5" fillId="2" borderId="0" xfId="6" applyFont="1" applyFill="1" applyAlignment="1">
      <alignment horizontal="center" vertical="center" wrapText="1"/>
    </xf>
    <xf numFmtId="0" fontId="14" fillId="3" borderId="2" xfId="20" applyFont="1" applyBorder="1" applyAlignment="1">
      <alignment horizontal="left" wrapText="1"/>
    </xf>
    <xf numFmtId="0" fontId="14" fillId="3" borderId="3" xfId="20" applyFont="1" applyBorder="1" applyAlignment="1">
      <alignment horizontal="left" wrapText="1"/>
    </xf>
    <xf numFmtId="0" fontId="14" fillId="3" borderId="1" xfId="20" applyFont="1" applyBorder="1" applyAlignment="1">
      <alignment horizontal="left" wrapText="1"/>
    </xf>
    <xf numFmtId="0" fontId="14" fillId="3" borderId="1" xfId="20" applyFont="1" applyBorder="1" applyAlignment="1">
      <alignment horizontal="center" wrapText="1"/>
    </xf>
    <xf numFmtId="0" fontId="14" fillId="3" borderId="4" xfId="20" applyFont="1" applyBorder="1" applyAlignment="1">
      <alignment horizontal="center" wrapText="1"/>
    </xf>
    <xf numFmtId="0" fontId="4" fillId="7" borderId="0" xfId="4" applyFill="1"/>
    <xf numFmtId="165" fontId="15" fillId="0" borderId="0" xfId="4" applyNumberFormat="1" applyFont="1"/>
    <xf numFmtId="9" fontId="15" fillId="8" borderId="0" xfId="21" applyFont="1" applyFill="1"/>
    <xf numFmtId="0" fontId="15" fillId="8" borderId="0" xfId="4" applyFont="1" applyFill="1"/>
    <xf numFmtId="0" fontId="4" fillId="8" borderId="0" xfId="4" applyFill="1"/>
    <xf numFmtId="9" fontId="4" fillId="0" borderId="0" xfId="4" applyNumberFormat="1"/>
    <xf numFmtId="165" fontId="4" fillId="8" borderId="0" xfId="4" applyNumberFormat="1" applyFill="1"/>
    <xf numFmtId="9" fontId="0" fillId="0" borderId="0" xfId="21" applyFont="1"/>
    <xf numFmtId="0" fontId="4" fillId="10" borderId="0" xfId="4" applyFill="1"/>
    <xf numFmtId="0" fontId="5" fillId="8" borderId="0" xfId="0" applyFont="1" applyFill="1"/>
    <xf numFmtId="2" fontId="4" fillId="8" borderId="0" xfId="0" applyNumberFormat="1" applyFont="1" applyFill="1"/>
    <xf numFmtId="1" fontId="15" fillId="8" borderId="0" xfId="19" applyNumberFormat="1" applyFont="1" applyFill="1"/>
    <xf numFmtId="0" fontId="0" fillId="8" borderId="0" xfId="0" applyFill="1"/>
    <xf numFmtId="165" fontId="20" fillId="0" borderId="0" xfId="0" applyNumberFormat="1" applyFont="1"/>
    <xf numFmtId="2" fontId="20" fillId="8" borderId="0" xfId="0" applyNumberFormat="1" applyFont="1" applyFill="1"/>
    <xf numFmtId="2" fontId="20" fillId="10" borderId="0" xfId="0" applyNumberFormat="1" applyFont="1" applyFill="1"/>
    <xf numFmtId="165" fontId="4" fillId="11" borderId="0" xfId="0" applyNumberFormat="1" applyFont="1" applyFill="1"/>
    <xf numFmtId="165" fontId="0" fillId="11" borderId="0" xfId="0" applyNumberFormat="1" applyFill="1"/>
    <xf numFmtId="0" fontId="0" fillId="11" borderId="0" xfId="0" applyFill="1"/>
    <xf numFmtId="0" fontId="4" fillId="11" borderId="0" xfId="0" applyFont="1" applyFill="1"/>
    <xf numFmtId="165" fontId="0" fillId="11" borderId="0" xfId="0" applyNumberFormat="1" applyFill="1" applyAlignment="1">
      <alignment wrapText="1"/>
    </xf>
    <xf numFmtId="2" fontId="15" fillId="7" borderId="0" xfId="0" applyNumberFormat="1" applyFont="1" applyFill="1"/>
    <xf numFmtId="2" fontId="15" fillId="10" borderId="0" xfId="0" applyNumberFormat="1" applyFont="1" applyFill="1"/>
    <xf numFmtId="166" fontId="15" fillId="7" borderId="0" xfId="0" applyNumberFormat="1" applyFont="1" applyFill="1"/>
    <xf numFmtId="2" fontId="15" fillId="8" borderId="0" xfId="0" applyNumberFormat="1" applyFont="1" applyFill="1"/>
    <xf numFmtId="0" fontId="21" fillId="0" borderId="0" xfId="0" applyFont="1"/>
    <xf numFmtId="165" fontId="21" fillId="0" borderId="0" xfId="0" applyNumberFormat="1" applyFont="1"/>
    <xf numFmtId="165" fontId="21" fillId="0" borderId="0" xfId="0" applyNumberFormat="1" applyFont="1" applyAlignment="1">
      <alignment wrapText="1"/>
    </xf>
    <xf numFmtId="167" fontId="15" fillId="8" borderId="0" xfId="4" applyNumberFormat="1" applyFont="1" applyFill="1"/>
    <xf numFmtId="167" fontId="4" fillId="0" borderId="0" xfId="4" applyNumberFormat="1"/>
    <xf numFmtId="1" fontId="15" fillId="0" borderId="0" xfId="4" applyNumberFormat="1" applyFont="1"/>
    <xf numFmtId="0" fontId="15" fillId="8" borderId="0" xfId="0" applyFont="1" applyFill="1"/>
    <xf numFmtId="0" fontId="5" fillId="8" borderId="0" xfId="0" applyFont="1" applyFill="1" applyAlignment="1">
      <alignment horizontal="center"/>
    </xf>
    <xf numFmtId="0" fontId="14" fillId="8" borderId="0" xfId="18" applyFont="1" applyFill="1" applyBorder="1" applyAlignment="1">
      <alignment horizontal="left" wrapText="1"/>
    </xf>
    <xf numFmtId="0" fontId="14" fillId="8" borderId="0" xfId="18" applyFont="1" applyFill="1" applyBorder="1" applyAlignment="1">
      <alignment horizontal="center" wrapText="1"/>
    </xf>
    <xf numFmtId="165" fontId="14" fillId="8" borderId="0" xfId="20" applyNumberFormat="1" applyFont="1" applyFill="1" applyBorder="1" applyAlignment="1">
      <alignment horizontal="left" wrapText="1"/>
    </xf>
    <xf numFmtId="165" fontId="21" fillId="8" borderId="0" xfId="0" applyNumberFormat="1" applyFont="1" applyFill="1"/>
    <xf numFmtId="0" fontId="21" fillId="8" borderId="0" xfId="0" applyFont="1" applyFill="1"/>
    <xf numFmtId="165" fontId="21" fillId="12" borderId="0" xfId="20" applyNumberFormat="1" applyFont="1" applyFill="1" applyBorder="1" applyAlignment="1">
      <alignment horizontal="left" wrapText="1"/>
    </xf>
    <xf numFmtId="0" fontId="19" fillId="8" borderId="0" xfId="0" applyFont="1" applyFill="1"/>
  </cellXfs>
  <cellStyles count="22">
    <cellStyle name="20% - Accent5 2" xfId="18" xr:uid="{4C3A48E2-3C46-4D12-9A64-54698D8BF8EE}"/>
    <cellStyle name="20% - Accent5 3" xfId="20" xr:uid="{3013E58E-05D8-4A7E-9DD3-5FDB1B87B181}"/>
    <cellStyle name="Accent2" xfId="1" builtinId="33"/>
    <cellStyle name="Comma 2" xfId="2" xr:uid="{00000000-0005-0000-0000-000002000000}"/>
    <cellStyle name="Good" xfId="3" builtinId="26"/>
    <cellStyle name="Neutral 2" xfId="19" xr:uid="{F4CB6A30-052B-4BBD-966C-479BF0489D45}"/>
    <cellStyle name="Normal" xfId="0" builtinId="0"/>
    <cellStyle name="Normal 10" xfId="4" xr:uid="{00000000-0005-0000-0000-000005000000}"/>
    <cellStyle name="Normal 2" xfId="5" xr:uid="{00000000-0005-0000-0000-000006000000}"/>
    <cellStyle name="Normal 4" xfId="6" xr:uid="{00000000-0005-0000-0000-000007000000}"/>
    <cellStyle name="Normal 4 2" xfId="7" xr:uid="{00000000-0005-0000-0000-000008000000}"/>
    <cellStyle name="Normal 8" xfId="8" xr:uid="{00000000-0005-0000-0000-000009000000}"/>
    <cellStyle name="Normal 9 2" xfId="9" xr:uid="{00000000-0005-0000-0000-00000A000000}"/>
    <cellStyle name="Normale_B2020" xfId="10" xr:uid="{00000000-0005-0000-0000-00000B000000}"/>
    <cellStyle name="Per cent 2" xfId="21" xr:uid="{51C5E537-54D3-40E4-BB31-46A9F8839CE1}"/>
    <cellStyle name="Percent 2" xfId="11" xr:uid="{00000000-0005-0000-0000-00000C000000}"/>
    <cellStyle name="Percent 2 2" xfId="12" xr:uid="{00000000-0005-0000-0000-00000D000000}"/>
    <cellStyle name="Percent 3" xfId="13" xr:uid="{00000000-0005-0000-0000-00000E000000}"/>
    <cellStyle name="Percent 3 2" xfId="14" xr:uid="{00000000-0005-0000-0000-00000F000000}"/>
    <cellStyle name="Percent 4" xfId="15" xr:uid="{00000000-0005-0000-0000-000010000000}"/>
    <cellStyle name="Percent 5" xfId="16" xr:uid="{00000000-0005-0000-0000-000011000000}"/>
    <cellStyle name="Standard_Sce_D_Extraction" xfId="17" xr:uid="{00000000-0005-0000-0000-000012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129540</xdr:colOff>
      <xdr:row>55</xdr:row>
      <xdr:rowOff>137160</xdr:rowOff>
    </xdr:from>
    <xdr:to>
      <xdr:col>17</xdr:col>
      <xdr:colOff>133299</xdr:colOff>
      <xdr:row>64</xdr:row>
      <xdr:rowOff>45720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134EA7B-FD36-4F10-9142-9732DF6B1312}"/>
            </a:ext>
          </a:extLst>
        </xdr:cNvPr>
        <xdr:cNvSpPr txBox="1"/>
      </xdr:nvSpPr>
      <xdr:spPr>
        <a:xfrm>
          <a:off x="8305800" y="8557260"/>
          <a:ext cx="5292039" cy="141732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coal an energy commodity (FI_COMM table) and define each supply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3-step domestic coal supply curve, along with and import and export option.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516548</xdr:colOff>
      <xdr:row>43</xdr:row>
      <xdr:rowOff>65943</xdr:rowOff>
    </xdr:from>
    <xdr:to>
      <xdr:col>19</xdr:col>
      <xdr:colOff>3771674</xdr:colOff>
      <xdr:row>48</xdr:row>
      <xdr:rowOff>142143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90E0A094-A986-4947-A6ED-3B5001361863}"/>
            </a:ext>
          </a:extLst>
        </xdr:cNvPr>
        <xdr:cNvSpPr txBox="1"/>
      </xdr:nvSpPr>
      <xdr:spPr>
        <a:xfrm>
          <a:off x="10026308" y="6299103"/>
          <a:ext cx="5952606" cy="91440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 demand industry sector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a demand commodity and an industry carbon dioxide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environmental commodity (FI_COMM table) and define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 to deliver the  industrial demand commodity.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289C8C-2E2A-4CC1-9EB1-31AFA36FA445}">
  <dimension ref="A1:W67"/>
  <sheetViews>
    <sheetView zoomScale="96" zoomScaleNormal="96" workbookViewId="0">
      <selection activeCell="L34" sqref="L34"/>
    </sheetView>
  </sheetViews>
  <sheetFormatPr defaultRowHeight="12.75" x14ac:dyDescent="0.2"/>
  <cols>
    <col min="1" max="1" width="2" bestFit="1" customWidth="1"/>
    <col min="2" max="2" width="19.28515625" bestFit="1" customWidth="1"/>
    <col min="3" max="3" width="12.28515625" customWidth="1"/>
    <col min="4" max="4" width="18.7109375" bestFit="1" customWidth="1"/>
    <col min="5" max="5" width="7.5703125" bestFit="1" customWidth="1"/>
    <col min="6" max="6" width="18.28515625" bestFit="1" customWidth="1"/>
    <col min="7" max="7" width="8.28515625" bestFit="1" customWidth="1"/>
    <col min="8" max="8" width="17.7109375" bestFit="1" customWidth="1"/>
    <col min="9" max="9" width="8.85546875" bestFit="1" customWidth="1"/>
    <col min="10" max="10" width="13.7109375" bestFit="1" customWidth="1"/>
    <col min="11" max="11" width="13.7109375" customWidth="1"/>
    <col min="12" max="12" width="13.7109375" style="65" customWidth="1"/>
    <col min="13" max="13" width="2" customWidth="1"/>
    <col min="14" max="14" width="11.7109375" bestFit="1" customWidth="1"/>
    <col min="15" max="15" width="7.140625" customWidth="1"/>
    <col min="16" max="16" width="21.42578125" bestFit="1" customWidth="1"/>
    <col min="17" max="17" width="36.85546875" bestFit="1" customWidth="1"/>
    <col min="18" max="18" width="6.140625" customWidth="1"/>
    <col min="19" max="19" width="11.5703125" customWidth="1"/>
    <col min="20" max="20" width="12.85546875" bestFit="1" customWidth="1"/>
    <col min="21" max="21" width="13.28515625" bestFit="1" customWidth="1"/>
    <col min="22" max="22" width="19.42578125" bestFit="1" customWidth="1"/>
  </cols>
  <sheetData>
    <row r="1" spans="2:22" ht="30" x14ac:dyDescent="0.25">
      <c r="B1" s="7" t="s">
        <v>38</v>
      </c>
      <c r="C1" s="7" t="s">
        <v>70</v>
      </c>
      <c r="D1" s="7" t="s">
        <v>39</v>
      </c>
      <c r="E1" s="7" t="s">
        <v>71</v>
      </c>
      <c r="F1" s="7" t="s">
        <v>41</v>
      </c>
      <c r="G1" s="6"/>
    </row>
    <row r="2" spans="2:22" ht="15.75" x14ac:dyDescent="0.25">
      <c r="C2" s="21" t="s">
        <v>72</v>
      </c>
      <c r="D2" s="21" t="s">
        <v>73</v>
      </c>
      <c r="E2" s="18" t="s">
        <v>58</v>
      </c>
      <c r="F2" s="18" t="s">
        <v>81</v>
      </c>
      <c r="G2" s="21"/>
      <c r="N2" s="11" t="s">
        <v>7</v>
      </c>
      <c r="O2" s="11"/>
      <c r="P2" s="12"/>
      <c r="Q2" s="12"/>
      <c r="R2" s="12"/>
      <c r="S2" s="12"/>
      <c r="T2" s="12"/>
      <c r="U2" s="12"/>
      <c r="V2" s="12"/>
    </row>
    <row r="3" spans="2:22" ht="15.75" x14ac:dyDescent="0.25">
      <c r="C3" s="21" t="s">
        <v>63</v>
      </c>
      <c r="D3" s="21" t="s">
        <v>74</v>
      </c>
      <c r="E3" s="18" t="s">
        <v>58</v>
      </c>
      <c r="F3" s="18" t="s">
        <v>81</v>
      </c>
      <c r="G3" s="21"/>
      <c r="N3" s="13" t="s">
        <v>8</v>
      </c>
      <c r="O3" s="14" t="s">
        <v>42</v>
      </c>
      <c r="P3" s="13" t="s">
        <v>6</v>
      </c>
      <c r="Q3" s="13" t="s">
        <v>9</v>
      </c>
      <c r="R3" s="13" t="s">
        <v>10</v>
      </c>
      <c r="S3" s="13" t="s">
        <v>11</v>
      </c>
      <c r="T3" s="13" t="s">
        <v>12</v>
      </c>
      <c r="U3" s="13" t="s">
        <v>13</v>
      </c>
      <c r="V3" s="13" t="s">
        <v>14</v>
      </c>
    </row>
    <row r="4" spans="2:22" ht="24" thickBot="1" x14ac:dyDescent="0.3">
      <c r="C4" s="21" t="s">
        <v>61</v>
      </c>
      <c r="D4" s="21" t="s">
        <v>62</v>
      </c>
      <c r="E4" s="18" t="s">
        <v>58</v>
      </c>
      <c r="F4" s="18" t="s">
        <v>81</v>
      </c>
      <c r="G4" s="21"/>
      <c r="N4" s="20" t="s">
        <v>43</v>
      </c>
      <c r="O4" s="20" t="s">
        <v>44</v>
      </c>
      <c r="P4" s="20" t="s">
        <v>23</v>
      </c>
      <c r="Q4" s="20" t="s">
        <v>24</v>
      </c>
      <c r="R4" s="20" t="s">
        <v>10</v>
      </c>
      <c r="S4" s="20" t="s">
        <v>45</v>
      </c>
      <c r="T4" s="20" t="s">
        <v>46</v>
      </c>
      <c r="U4" s="20" t="s">
        <v>25</v>
      </c>
      <c r="V4" s="20" t="s">
        <v>26</v>
      </c>
    </row>
    <row r="5" spans="2:22" ht="15.75" x14ac:dyDescent="0.25">
      <c r="C5" s="21" t="s">
        <v>60</v>
      </c>
      <c r="D5" s="21" t="s">
        <v>75</v>
      </c>
      <c r="E5" s="18" t="s">
        <v>58</v>
      </c>
      <c r="F5" s="18" t="s">
        <v>81</v>
      </c>
      <c r="G5" s="21"/>
      <c r="N5" s="19" t="s">
        <v>59</v>
      </c>
      <c r="O5" s="19"/>
      <c r="P5" s="19" t="s">
        <v>68</v>
      </c>
      <c r="Q5" s="19" t="s">
        <v>62</v>
      </c>
      <c r="R5" s="19" t="s">
        <v>58</v>
      </c>
      <c r="S5" s="19"/>
      <c r="T5" s="19"/>
      <c r="U5" s="19"/>
      <c r="V5" s="19"/>
    </row>
    <row r="6" spans="2:22" ht="15.75" x14ac:dyDescent="0.25">
      <c r="C6" s="21"/>
      <c r="D6" s="21"/>
      <c r="E6" s="18"/>
      <c r="F6" s="18"/>
      <c r="G6" s="21"/>
      <c r="N6" s="19" t="s">
        <v>59</v>
      </c>
      <c r="O6" s="19"/>
      <c r="P6" s="19" t="s">
        <v>67</v>
      </c>
      <c r="Q6" s="19" t="s">
        <v>93</v>
      </c>
      <c r="R6" s="19" t="s">
        <v>58</v>
      </c>
      <c r="S6" s="19"/>
      <c r="T6" s="19"/>
      <c r="U6" s="19"/>
      <c r="V6" s="19"/>
    </row>
    <row r="7" spans="2:22" ht="15.75" x14ac:dyDescent="0.25">
      <c r="C7" s="21"/>
      <c r="D7" s="21"/>
      <c r="E7" s="18"/>
      <c r="F7" s="18"/>
      <c r="G7" s="21"/>
      <c r="N7" s="19"/>
      <c r="O7" s="19"/>
      <c r="P7" s="19"/>
      <c r="Q7" s="19"/>
      <c r="R7" s="19"/>
      <c r="S7" s="19"/>
      <c r="T7" s="19"/>
      <c r="U7" s="19"/>
      <c r="V7" s="19"/>
    </row>
    <row r="8" spans="2:22" x14ac:dyDescent="0.2">
      <c r="B8" s="21"/>
      <c r="C8" s="21"/>
      <c r="D8" s="21"/>
      <c r="E8" s="21"/>
      <c r="F8" s="21"/>
      <c r="G8" s="21"/>
      <c r="N8" s="66" t="s">
        <v>59</v>
      </c>
      <c r="O8" s="66"/>
      <c r="P8" s="66" t="s">
        <v>72</v>
      </c>
      <c r="Q8" s="66" t="s">
        <v>103</v>
      </c>
      <c r="R8" s="66" t="s">
        <v>58</v>
      </c>
      <c r="S8" s="19"/>
      <c r="T8" s="19"/>
      <c r="U8" s="19"/>
      <c r="V8" s="19"/>
    </row>
    <row r="9" spans="2:22" x14ac:dyDescent="0.2">
      <c r="B9" s="21"/>
      <c r="C9" s="21"/>
      <c r="D9" s="21"/>
      <c r="E9" s="21"/>
      <c r="F9" s="21"/>
      <c r="G9" s="21"/>
      <c r="H9" s="21"/>
      <c r="N9" s="66" t="s">
        <v>59</v>
      </c>
      <c r="O9" s="66"/>
      <c r="P9" s="66" t="s">
        <v>109</v>
      </c>
      <c r="Q9" s="66" t="s">
        <v>104</v>
      </c>
      <c r="R9" s="66" t="s">
        <v>58</v>
      </c>
      <c r="S9" s="19"/>
      <c r="T9" s="19"/>
      <c r="U9" s="19"/>
      <c r="V9" s="19"/>
    </row>
    <row r="10" spans="2:22" x14ac:dyDescent="0.2">
      <c r="B10" s="21"/>
      <c r="C10" s="21"/>
      <c r="D10" s="21"/>
      <c r="E10" s="21"/>
      <c r="F10" s="21"/>
      <c r="G10" s="21"/>
      <c r="H10" s="21"/>
      <c r="N10" s="21"/>
      <c r="O10" s="21"/>
      <c r="P10" s="21"/>
      <c r="Q10" s="21"/>
      <c r="R10" s="21"/>
      <c r="S10" s="19"/>
      <c r="T10" s="19"/>
      <c r="U10" s="19"/>
      <c r="V10" s="19"/>
    </row>
    <row r="11" spans="2:22" s="21" customFormat="1" x14ac:dyDescent="0.2">
      <c r="L11" s="84"/>
      <c r="N11"/>
      <c r="O11"/>
      <c r="P11"/>
      <c r="Q11"/>
      <c r="R11"/>
      <c r="S11" s="19"/>
      <c r="T11" s="19"/>
      <c r="U11" s="19"/>
      <c r="V11" s="19"/>
    </row>
    <row r="12" spans="2:22" s="21" customFormat="1" x14ac:dyDescent="0.2">
      <c r="L12" s="84"/>
      <c r="N12"/>
      <c r="O12"/>
      <c r="P12"/>
      <c r="Q12"/>
      <c r="R12"/>
      <c r="S12" s="19"/>
      <c r="T12" s="12"/>
      <c r="U12" s="12"/>
      <c r="V12" s="12"/>
    </row>
    <row r="13" spans="2:22" s="21" customFormat="1" x14ac:dyDescent="0.2">
      <c r="B13"/>
      <c r="C13"/>
      <c r="D13"/>
      <c r="E13"/>
      <c r="F13"/>
      <c r="G13"/>
      <c r="H13"/>
      <c r="L13" s="84"/>
      <c r="N13"/>
      <c r="O13"/>
      <c r="P13"/>
      <c r="Q13"/>
      <c r="R13"/>
      <c r="S13"/>
      <c r="T13"/>
      <c r="U13"/>
      <c r="V13"/>
    </row>
    <row r="14" spans="2:22" s="21" customFormat="1" x14ac:dyDescent="0.2">
      <c r="B14"/>
      <c r="C14"/>
      <c r="D14"/>
      <c r="E14"/>
      <c r="F14"/>
      <c r="G14"/>
      <c r="H14"/>
      <c r="L14" s="84"/>
      <c r="N14" s="12"/>
      <c r="O14" s="15"/>
      <c r="P14" s="12"/>
      <c r="Q14" s="12"/>
      <c r="R14" s="12"/>
      <c r="S14" s="12"/>
      <c r="T14" s="12"/>
      <c r="U14" s="12"/>
      <c r="V14" s="12"/>
    </row>
    <row r="15" spans="2:22" x14ac:dyDescent="0.2">
      <c r="N15" s="12"/>
      <c r="O15" s="15"/>
      <c r="P15" s="12"/>
      <c r="Q15" s="12"/>
      <c r="R15" s="12"/>
      <c r="S15" s="12"/>
      <c r="T15" s="12"/>
      <c r="U15" s="12"/>
      <c r="V15" s="12"/>
    </row>
    <row r="16" spans="2:22" x14ac:dyDescent="0.2">
      <c r="N16" s="12"/>
      <c r="O16" s="15"/>
      <c r="P16" s="12"/>
      <c r="Q16" s="12"/>
      <c r="R16" s="12"/>
      <c r="S16" s="12"/>
      <c r="T16" s="12"/>
      <c r="U16" s="12"/>
      <c r="V16" s="12"/>
    </row>
    <row r="17" spans="2:22" x14ac:dyDescent="0.2">
      <c r="N17" s="12"/>
      <c r="O17" s="15"/>
      <c r="P17" s="12"/>
      <c r="Q17" s="12"/>
      <c r="R17" s="12"/>
      <c r="S17" s="12"/>
      <c r="T17" s="12"/>
      <c r="U17" s="12"/>
      <c r="V17" s="12"/>
    </row>
    <row r="18" spans="2:22" x14ac:dyDescent="0.2">
      <c r="N18" s="12"/>
      <c r="O18" s="15"/>
      <c r="P18" s="12"/>
      <c r="Q18" s="12"/>
      <c r="R18" s="12"/>
      <c r="S18" s="12"/>
      <c r="T18" s="12"/>
      <c r="U18" s="12"/>
      <c r="V18" s="12"/>
    </row>
    <row r="19" spans="2:22" x14ac:dyDescent="0.2">
      <c r="N19" s="12"/>
      <c r="O19" s="15"/>
      <c r="P19" s="12"/>
      <c r="Q19" s="12"/>
      <c r="R19" s="12"/>
      <c r="S19" s="12"/>
      <c r="T19" s="12"/>
      <c r="U19" s="12"/>
      <c r="V19" s="12"/>
    </row>
    <row r="20" spans="2:22" x14ac:dyDescent="0.2">
      <c r="N20" s="12"/>
      <c r="O20" s="15"/>
      <c r="P20" s="12"/>
      <c r="Q20" s="12"/>
      <c r="R20" s="12"/>
      <c r="S20" s="12"/>
      <c r="T20" s="12"/>
      <c r="U20" s="12"/>
      <c r="V20" s="12"/>
    </row>
    <row r="21" spans="2:22" x14ac:dyDescent="0.2">
      <c r="N21" s="1"/>
      <c r="P21" s="1"/>
      <c r="Q21" s="1"/>
      <c r="R21" s="1"/>
      <c r="S21" s="1"/>
      <c r="T21" s="1"/>
      <c r="U21" s="1"/>
      <c r="V21" s="1"/>
    </row>
    <row r="22" spans="2:22" x14ac:dyDescent="0.2">
      <c r="F22" s="2" t="s">
        <v>0</v>
      </c>
      <c r="G22" s="2"/>
      <c r="N22" s="11" t="s">
        <v>17</v>
      </c>
      <c r="O22" s="11"/>
      <c r="P22" s="15"/>
      <c r="Q22" s="15"/>
      <c r="R22" s="15"/>
      <c r="S22" s="15"/>
      <c r="T22" s="15"/>
      <c r="U22" s="15"/>
      <c r="V22" s="15"/>
    </row>
    <row r="23" spans="2:22" x14ac:dyDescent="0.2">
      <c r="B23" s="22" t="s">
        <v>1</v>
      </c>
      <c r="C23" s="23" t="s">
        <v>3</v>
      </c>
      <c r="D23" s="22" t="s">
        <v>4</v>
      </c>
      <c r="E23" s="22" t="s">
        <v>55</v>
      </c>
      <c r="F23" s="22" t="s">
        <v>16</v>
      </c>
      <c r="G23" s="22" t="s">
        <v>34</v>
      </c>
      <c r="H23" s="24" t="s">
        <v>47</v>
      </c>
      <c r="I23" s="24" t="s">
        <v>76</v>
      </c>
      <c r="J23" s="24" t="s">
        <v>77</v>
      </c>
      <c r="K23" s="24" t="s">
        <v>56</v>
      </c>
      <c r="L23" s="85"/>
      <c r="N23" s="13" t="s">
        <v>15</v>
      </c>
      <c r="O23" s="14" t="s">
        <v>42</v>
      </c>
      <c r="P23" s="13" t="s">
        <v>1</v>
      </c>
      <c r="Q23" s="13" t="s">
        <v>2</v>
      </c>
      <c r="R23" s="13" t="s">
        <v>18</v>
      </c>
      <c r="S23" s="13" t="s">
        <v>19</v>
      </c>
      <c r="T23" s="13" t="s">
        <v>20</v>
      </c>
      <c r="U23" s="13" t="s">
        <v>21</v>
      </c>
      <c r="V23" s="13" t="s">
        <v>22</v>
      </c>
    </row>
    <row r="24" spans="2:22" ht="23.25" thickBot="1" x14ac:dyDescent="0.25">
      <c r="B24" s="25" t="s">
        <v>48</v>
      </c>
      <c r="C24" s="25" t="s">
        <v>32</v>
      </c>
      <c r="D24" s="25" t="s">
        <v>33</v>
      </c>
      <c r="E24" s="25" t="s">
        <v>54</v>
      </c>
      <c r="F24" s="25" t="s">
        <v>35</v>
      </c>
      <c r="G24" s="25" t="s">
        <v>49</v>
      </c>
      <c r="H24" s="25" t="s">
        <v>57</v>
      </c>
      <c r="I24" s="25" t="s">
        <v>78</v>
      </c>
      <c r="J24" s="25" t="s">
        <v>79</v>
      </c>
      <c r="K24" s="26" t="s">
        <v>80</v>
      </c>
      <c r="L24" s="86"/>
      <c r="N24" s="20" t="s">
        <v>50</v>
      </c>
      <c r="O24" s="20" t="s">
        <v>44</v>
      </c>
      <c r="P24" s="20" t="s">
        <v>27</v>
      </c>
      <c r="Q24" s="20" t="s">
        <v>28</v>
      </c>
      <c r="R24" s="20" t="s">
        <v>29</v>
      </c>
      <c r="S24" s="20" t="s">
        <v>30</v>
      </c>
      <c r="T24" s="20" t="s">
        <v>51</v>
      </c>
      <c r="U24" s="20" t="s">
        <v>52</v>
      </c>
      <c r="V24" s="20" t="s">
        <v>31</v>
      </c>
    </row>
    <row r="25" spans="2:22" ht="23.25" thickBot="1" x14ac:dyDescent="0.25">
      <c r="B25" s="25" t="s">
        <v>53</v>
      </c>
      <c r="C25" s="27"/>
      <c r="D25" s="27"/>
      <c r="E25" s="27"/>
      <c r="F25" s="27"/>
      <c r="G25" s="27"/>
      <c r="H25" s="27" t="s">
        <v>54</v>
      </c>
      <c r="I25" s="27" t="s">
        <v>81</v>
      </c>
      <c r="J25" s="27" t="s">
        <v>58</v>
      </c>
      <c r="K25" s="28"/>
      <c r="L25" s="87"/>
      <c r="N25" s="20" t="s">
        <v>82</v>
      </c>
      <c r="O25" s="29" t="s">
        <v>132</v>
      </c>
      <c r="P25" s="29"/>
      <c r="Q25" s="29"/>
      <c r="R25" s="29"/>
      <c r="S25" s="29"/>
      <c r="T25" s="29"/>
      <c r="U25" s="29"/>
      <c r="V25" s="29"/>
    </row>
    <row r="26" spans="2:22" x14ac:dyDescent="0.2">
      <c r="B26" s="12" t="str">
        <f>P26</f>
        <v>MINBIO</v>
      </c>
      <c r="C26" s="15"/>
      <c r="D26" s="12" t="str">
        <f>P5</f>
        <v>MANBIOMIN</v>
      </c>
      <c r="E26" s="1">
        <v>2030</v>
      </c>
      <c r="F26" s="1">
        <v>1</v>
      </c>
      <c r="G26" s="1">
        <v>1</v>
      </c>
      <c r="H26" s="1">
        <v>50</v>
      </c>
      <c r="I26" s="31">
        <v>14.00399887968009</v>
      </c>
      <c r="J26" s="32"/>
      <c r="K26" s="33">
        <v>8.76</v>
      </c>
      <c r="L26" s="63"/>
      <c r="N26" s="78" t="s">
        <v>64</v>
      </c>
      <c r="O26" s="78"/>
      <c r="P26" s="79" t="s">
        <v>130</v>
      </c>
      <c r="Q26" s="80" t="str">
        <f>"Domestic Supply of "&amp;$D$4&amp;" "</f>
        <v xml:space="preserve">Domestic Supply of Biomass </v>
      </c>
      <c r="R26" s="78" t="s">
        <v>58</v>
      </c>
      <c r="S26" s="78"/>
      <c r="T26" s="78"/>
    </row>
    <row r="27" spans="2:22" x14ac:dyDescent="0.2">
      <c r="B27" s="12" t="str">
        <f>P27</f>
        <v>MINGAS</v>
      </c>
      <c r="C27" s="15"/>
      <c r="D27" s="12" t="str">
        <f>P6</f>
        <v>MANGASMIN</v>
      </c>
      <c r="E27" s="1">
        <v>2030</v>
      </c>
      <c r="F27" s="1">
        <v>1</v>
      </c>
      <c r="G27" s="1">
        <v>1</v>
      </c>
      <c r="H27" s="1">
        <v>50</v>
      </c>
      <c r="I27" s="35">
        <v>27.575997793920177</v>
      </c>
      <c r="J27" s="36"/>
      <c r="K27" s="33">
        <v>8.76</v>
      </c>
      <c r="L27" s="63"/>
      <c r="N27" s="78" t="s">
        <v>64</v>
      </c>
      <c r="O27" s="78"/>
      <c r="P27" s="79" t="s">
        <v>131</v>
      </c>
      <c r="Q27" s="80" t="str">
        <f>"Domestic Supply of "&amp;$D$5&amp;" "</f>
        <v xml:space="preserve">Domestic Supply of Ngas </v>
      </c>
      <c r="R27" s="78" t="s">
        <v>58</v>
      </c>
      <c r="S27" s="78"/>
      <c r="T27" s="78"/>
    </row>
    <row r="28" spans="2:22" x14ac:dyDescent="0.2">
      <c r="B28" s="12"/>
      <c r="C28" s="15"/>
      <c r="D28" s="12"/>
      <c r="E28" s="1"/>
      <c r="F28" s="1"/>
      <c r="G28" s="1"/>
      <c r="H28" s="1"/>
      <c r="I28" s="35"/>
      <c r="J28" s="36"/>
      <c r="K28" s="33"/>
      <c r="L28" s="63"/>
      <c r="N28" s="78"/>
      <c r="O28" s="78"/>
      <c r="P28" s="79"/>
      <c r="Q28" s="80"/>
      <c r="R28" s="78"/>
      <c r="S28" s="78"/>
      <c r="T28" s="78"/>
    </row>
    <row r="29" spans="2:22" x14ac:dyDescent="0.2">
      <c r="B29" s="12"/>
      <c r="C29" s="15"/>
      <c r="D29" s="12"/>
      <c r="E29" s="1"/>
      <c r="F29" s="1"/>
      <c r="G29" s="1"/>
      <c r="H29" s="1"/>
      <c r="I29" s="35"/>
      <c r="J29" s="36"/>
      <c r="K29" s="33"/>
      <c r="L29" s="63"/>
      <c r="N29" s="78"/>
      <c r="O29" s="78"/>
      <c r="P29" s="79"/>
      <c r="Q29" s="80"/>
      <c r="R29" s="78"/>
      <c r="S29" s="78"/>
      <c r="T29" s="78"/>
    </row>
    <row r="30" spans="2:22" x14ac:dyDescent="0.2">
      <c r="B30" s="12"/>
      <c r="C30" s="15"/>
      <c r="D30" s="12"/>
      <c r="E30" s="1"/>
      <c r="F30" s="1"/>
      <c r="G30" s="1"/>
      <c r="H30" s="1"/>
      <c r="I30" s="35"/>
      <c r="J30" s="36"/>
      <c r="K30" s="33"/>
      <c r="L30" s="63"/>
      <c r="N30" s="78"/>
      <c r="O30" s="78"/>
      <c r="P30" s="79"/>
      <c r="Q30" s="80"/>
      <c r="R30" s="78"/>
      <c r="S30" s="78"/>
      <c r="T30" s="78"/>
    </row>
    <row r="31" spans="2:22" x14ac:dyDescent="0.2">
      <c r="B31" s="12"/>
      <c r="C31" s="15"/>
      <c r="D31" s="12"/>
      <c r="E31" s="1"/>
      <c r="F31" s="1"/>
      <c r="G31" s="1"/>
      <c r="H31" s="1"/>
      <c r="I31" s="35"/>
      <c r="J31" s="36"/>
      <c r="K31" s="33"/>
      <c r="L31" s="63"/>
      <c r="N31" s="78"/>
      <c r="O31" s="78"/>
      <c r="P31" s="79"/>
      <c r="Q31" s="80"/>
      <c r="R31" s="78"/>
      <c r="S31" s="78"/>
      <c r="T31" s="78"/>
    </row>
    <row r="32" spans="2:22" x14ac:dyDescent="0.2">
      <c r="B32" s="12"/>
      <c r="C32" s="15"/>
      <c r="D32" s="12"/>
      <c r="E32" s="1"/>
      <c r="F32" s="1"/>
      <c r="G32" s="1"/>
      <c r="H32" s="1"/>
      <c r="I32" s="35"/>
      <c r="J32" s="36"/>
      <c r="K32" s="33"/>
      <c r="L32" s="63"/>
      <c r="N32" s="78"/>
      <c r="O32" s="78"/>
      <c r="P32" s="79"/>
      <c r="Q32" s="80"/>
      <c r="R32" s="78"/>
      <c r="S32" s="78"/>
      <c r="T32" s="78"/>
    </row>
    <row r="33" spans="2:20" x14ac:dyDescent="0.2">
      <c r="B33" s="12"/>
      <c r="C33" s="15"/>
      <c r="D33" s="12"/>
      <c r="E33" s="1"/>
      <c r="F33" s="1"/>
      <c r="G33" s="1"/>
      <c r="H33" s="1"/>
      <c r="I33" s="35"/>
      <c r="J33" s="36"/>
      <c r="K33" s="33"/>
      <c r="L33" s="63"/>
      <c r="N33" s="78"/>
      <c r="O33" s="78"/>
      <c r="P33" s="79"/>
      <c r="Q33" s="80"/>
      <c r="R33" s="78"/>
      <c r="S33" s="78"/>
      <c r="T33" s="78"/>
    </row>
    <row r="34" spans="2:20" x14ac:dyDescent="0.2">
      <c r="B34" s="12"/>
      <c r="C34" s="15"/>
      <c r="D34" s="12"/>
      <c r="E34" s="1"/>
      <c r="F34" s="1"/>
      <c r="G34" s="1"/>
      <c r="H34" s="1"/>
      <c r="I34" s="35"/>
      <c r="J34" s="36"/>
      <c r="K34" s="33"/>
      <c r="L34" s="63"/>
      <c r="N34" s="78"/>
      <c r="O34" s="78"/>
      <c r="P34" s="79"/>
      <c r="Q34" s="80"/>
      <c r="R34" s="78"/>
      <c r="S34" s="78"/>
      <c r="T34" s="78"/>
    </row>
    <row r="35" spans="2:20" x14ac:dyDescent="0.2">
      <c r="B35" s="12"/>
      <c r="C35" s="15"/>
      <c r="D35" s="12"/>
      <c r="E35" s="1"/>
      <c r="F35" s="1"/>
      <c r="G35" s="1"/>
      <c r="H35" s="1"/>
      <c r="I35" s="35"/>
      <c r="J35" s="36"/>
      <c r="K35" s="33"/>
      <c r="L35" s="63"/>
      <c r="N35" s="78"/>
      <c r="O35" s="78"/>
      <c r="P35" s="79"/>
      <c r="Q35" s="80"/>
      <c r="R35" s="78"/>
      <c r="S35" s="78"/>
      <c r="T35" s="78"/>
    </row>
    <row r="36" spans="2:20" x14ac:dyDescent="0.2">
      <c r="B36" s="12"/>
      <c r="C36" s="15"/>
      <c r="D36" s="12"/>
      <c r="E36" s="1"/>
      <c r="F36" s="1"/>
      <c r="G36" s="1"/>
      <c r="H36" s="1"/>
      <c r="I36" s="35"/>
      <c r="J36" s="36"/>
      <c r="K36" s="33"/>
      <c r="L36" s="63"/>
      <c r="N36" s="78"/>
      <c r="O36" s="78"/>
      <c r="P36" s="79"/>
      <c r="Q36" s="80"/>
      <c r="R36" s="78"/>
      <c r="S36" s="78"/>
      <c r="T36" s="78"/>
    </row>
    <row r="37" spans="2:20" x14ac:dyDescent="0.2">
      <c r="B37" s="19" t="str">
        <f t="shared" ref="B37:B38" si="0">P37</f>
        <v>WNDTRBN</v>
      </c>
      <c r="C37" s="19" t="str">
        <f>P8</f>
        <v>WIND</v>
      </c>
      <c r="D37" s="19" t="s">
        <v>69</v>
      </c>
      <c r="E37" s="21">
        <v>2030</v>
      </c>
      <c r="F37" s="21">
        <v>0.34</v>
      </c>
      <c r="G37" s="21">
        <v>0.97</v>
      </c>
      <c r="H37" s="21">
        <v>25</v>
      </c>
      <c r="I37" s="74">
        <v>9.1191599999999994E-3</v>
      </c>
      <c r="J37" s="36"/>
      <c r="K37" s="75">
        <v>8.76</v>
      </c>
      <c r="L37" s="63"/>
      <c r="N37" s="21" t="s">
        <v>69</v>
      </c>
      <c r="O37" s="21"/>
      <c r="P37" s="19" t="s">
        <v>94</v>
      </c>
      <c r="Q37" s="37" t="s">
        <v>97</v>
      </c>
      <c r="R37" s="21" t="s">
        <v>58</v>
      </c>
      <c r="S37" s="21"/>
      <c r="T37" s="21" t="s">
        <v>89</v>
      </c>
    </row>
    <row r="38" spans="2:20" x14ac:dyDescent="0.2">
      <c r="B38" s="19" t="str">
        <f t="shared" si="0"/>
        <v>SOLPV</v>
      </c>
      <c r="C38" s="19" t="str">
        <f>P9</f>
        <v>SOLAR</v>
      </c>
      <c r="D38" s="19" t="s">
        <v>69</v>
      </c>
      <c r="E38" s="21">
        <v>2030</v>
      </c>
      <c r="F38" s="21">
        <v>0.17</v>
      </c>
      <c r="G38" s="21">
        <v>0.99</v>
      </c>
      <c r="H38" s="21">
        <v>25</v>
      </c>
      <c r="I38" s="74">
        <v>6.0531600000000001E-3</v>
      </c>
      <c r="J38" s="36"/>
      <c r="K38" s="75">
        <v>8.76</v>
      </c>
      <c r="L38" s="63"/>
      <c r="N38" s="21" t="s">
        <v>69</v>
      </c>
      <c r="O38" s="21"/>
      <c r="P38" s="19" t="s">
        <v>95</v>
      </c>
      <c r="Q38" s="37" t="s">
        <v>96</v>
      </c>
      <c r="R38" s="21" t="s">
        <v>58</v>
      </c>
      <c r="S38" s="21"/>
      <c r="T38" s="21" t="s">
        <v>89</v>
      </c>
    </row>
    <row r="39" spans="2:20" x14ac:dyDescent="0.2">
      <c r="B39" s="19" t="str">
        <f>P41</f>
        <v>CSP</v>
      </c>
      <c r="C39" s="19" t="str">
        <f>P9</f>
        <v>SOLAR</v>
      </c>
      <c r="D39" s="19" t="str">
        <f>DemTechs_INDF!S7</f>
        <v>SOLHEAT</v>
      </c>
      <c r="E39" s="21">
        <v>2030</v>
      </c>
      <c r="F39" s="21">
        <v>0.41</v>
      </c>
      <c r="G39" s="21">
        <v>0.92</v>
      </c>
      <c r="H39" s="21">
        <v>25</v>
      </c>
      <c r="I39" s="76">
        <v>3.2210519999999999E-2</v>
      </c>
      <c r="J39" s="36"/>
      <c r="K39" s="75">
        <v>8.76</v>
      </c>
      <c r="L39" s="63"/>
      <c r="N39" s="21" t="s">
        <v>64</v>
      </c>
      <c r="O39" s="21"/>
      <c r="P39" s="19" t="s">
        <v>105</v>
      </c>
      <c r="Q39" s="37" t="s">
        <v>108</v>
      </c>
      <c r="R39" s="21" t="s">
        <v>58</v>
      </c>
      <c r="S39" s="21"/>
      <c r="T39" s="21"/>
    </row>
    <row r="40" spans="2:20" x14ac:dyDescent="0.2">
      <c r="B40" s="19" t="str">
        <f>P39</f>
        <v>MINWIND</v>
      </c>
      <c r="C40" s="19"/>
      <c r="D40" s="19" t="str">
        <f>P8</f>
        <v>WIND</v>
      </c>
      <c r="E40" s="21">
        <v>2030</v>
      </c>
      <c r="F40" s="21">
        <v>1</v>
      </c>
      <c r="G40" s="21">
        <v>1</v>
      </c>
      <c r="H40" s="21">
        <v>50</v>
      </c>
      <c r="I40" s="77">
        <v>0</v>
      </c>
      <c r="J40" s="64"/>
      <c r="K40" s="75">
        <v>8.76</v>
      </c>
      <c r="L40" s="63"/>
      <c r="N40" s="21" t="s">
        <v>64</v>
      </c>
      <c r="O40" s="21"/>
      <c r="P40" s="19" t="s">
        <v>106</v>
      </c>
      <c r="Q40" s="37" t="s">
        <v>107</v>
      </c>
      <c r="R40" s="21" t="s">
        <v>58</v>
      </c>
      <c r="S40" s="21"/>
      <c r="T40" s="21"/>
    </row>
    <row r="41" spans="2:20" x14ac:dyDescent="0.2">
      <c r="B41" s="19" t="str">
        <f>P40</f>
        <v>MINSOL</v>
      </c>
      <c r="C41" s="19"/>
      <c r="D41" s="19" t="str">
        <f>P9</f>
        <v>SOLAR</v>
      </c>
      <c r="E41" s="21">
        <v>2030</v>
      </c>
      <c r="F41" s="21">
        <v>1</v>
      </c>
      <c r="G41" s="21">
        <v>1</v>
      </c>
      <c r="H41" s="21">
        <v>50</v>
      </c>
      <c r="I41" s="77">
        <v>0</v>
      </c>
      <c r="J41" s="64"/>
      <c r="K41" s="75">
        <v>8.76</v>
      </c>
      <c r="L41" s="63"/>
      <c r="N41" s="21" t="s">
        <v>120</v>
      </c>
      <c r="O41" s="21"/>
      <c r="P41" s="19" t="s">
        <v>65</v>
      </c>
      <c r="Q41" s="37" t="s">
        <v>119</v>
      </c>
      <c r="R41" s="21" t="s">
        <v>58</v>
      </c>
      <c r="S41" s="21"/>
      <c r="T41" s="21" t="s">
        <v>89</v>
      </c>
    </row>
    <row r="42" spans="2:20" x14ac:dyDescent="0.2">
      <c r="B42" s="12"/>
      <c r="C42" s="12"/>
      <c r="D42" s="12"/>
      <c r="E42" s="1"/>
      <c r="F42" s="1"/>
      <c r="G42" s="1"/>
      <c r="I42" s="67"/>
      <c r="J42" s="64"/>
      <c r="K42" s="68"/>
      <c r="L42" s="63"/>
      <c r="N42" s="72"/>
      <c r="O42" s="71"/>
      <c r="P42" s="69"/>
      <c r="Q42" s="73"/>
    </row>
    <row r="43" spans="2:20" x14ac:dyDescent="0.2">
      <c r="B43" s="12"/>
      <c r="C43" s="15"/>
      <c r="D43" s="12"/>
      <c r="E43" s="1"/>
      <c r="F43" s="1"/>
      <c r="G43" s="1"/>
      <c r="I43" s="67"/>
      <c r="J43" s="64"/>
      <c r="K43" s="68"/>
      <c r="L43" s="63"/>
      <c r="N43" s="71"/>
      <c r="O43" s="71"/>
      <c r="P43" s="70"/>
      <c r="Q43" s="73"/>
    </row>
    <row r="44" spans="2:20" x14ac:dyDescent="0.2">
      <c r="B44" s="12"/>
      <c r="C44" s="15"/>
      <c r="D44" s="12"/>
      <c r="E44" s="1"/>
      <c r="F44" s="1"/>
      <c r="G44" s="1"/>
      <c r="I44" s="67"/>
      <c r="J44" s="64"/>
      <c r="K44" s="68"/>
      <c r="L44" s="63"/>
      <c r="N44" s="71"/>
      <c r="O44" s="71"/>
      <c r="P44" s="70"/>
      <c r="Q44" s="73"/>
    </row>
    <row r="45" spans="2:20" x14ac:dyDescent="0.2">
      <c r="B45" s="12"/>
      <c r="C45" s="15"/>
      <c r="D45" s="12"/>
      <c r="E45" s="1"/>
      <c r="F45" s="1"/>
      <c r="G45" s="1"/>
      <c r="I45" s="67"/>
      <c r="J45" s="64"/>
      <c r="K45" s="68"/>
      <c r="L45" s="63"/>
      <c r="N45" s="71"/>
      <c r="O45" s="71"/>
      <c r="P45" s="70"/>
      <c r="Q45" s="73"/>
    </row>
    <row r="46" spans="2:20" x14ac:dyDescent="0.2">
      <c r="B46" s="12"/>
      <c r="C46" s="1"/>
      <c r="D46" s="12"/>
      <c r="E46" s="1"/>
      <c r="F46" s="1"/>
      <c r="G46" s="1"/>
      <c r="I46" s="67"/>
      <c r="J46" s="64"/>
      <c r="K46" s="68"/>
      <c r="L46" s="63"/>
      <c r="N46" s="71"/>
      <c r="O46" s="71"/>
      <c r="P46" s="70"/>
      <c r="Q46" s="73"/>
    </row>
    <row r="47" spans="2:20" x14ac:dyDescent="0.2">
      <c r="B47" s="8"/>
      <c r="C47" s="12"/>
      <c r="D47" s="12"/>
      <c r="E47" s="1"/>
      <c r="F47" s="1"/>
      <c r="G47" s="1"/>
      <c r="I47" s="67"/>
      <c r="J47" s="64"/>
      <c r="K47" s="68"/>
      <c r="L47" s="63"/>
      <c r="N47" s="71"/>
      <c r="O47" s="71"/>
      <c r="P47" s="70"/>
      <c r="Q47" s="73"/>
    </row>
    <row r="48" spans="2:20" x14ac:dyDescent="0.2">
      <c r="B48" s="8"/>
      <c r="C48" s="12"/>
      <c r="D48" s="12"/>
      <c r="E48" s="1"/>
      <c r="F48" s="1"/>
      <c r="G48" s="1"/>
      <c r="I48" s="67"/>
      <c r="J48" s="64"/>
      <c r="K48" s="68"/>
      <c r="L48" s="63"/>
      <c r="N48" s="71"/>
      <c r="O48" s="71"/>
      <c r="P48" s="70"/>
      <c r="Q48" s="73"/>
    </row>
    <row r="49" spans="2:17" x14ac:dyDescent="0.2">
      <c r="B49" s="8"/>
      <c r="C49" s="12"/>
      <c r="D49" s="12"/>
      <c r="E49" s="1"/>
      <c r="F49" s="1"/>
      <c r="G49" s="1"/>
      <c r="I49" s="67"/>
      <c r="J49" s="64"/>
      <c r="K49" s="68"/>
      <c r="L49" s="63"/>
      <c r="N49" s="71"/>
      <c r="O49" s="71"/>
      <c r="P49" s="70"/>
      <c r="Q49" s="73"/>
    </row>
    <row r="50" spans="2:17" x14ac:dyDescent="0.2">
      <c r="B50" s="8"/>
      <c r="C50" s="1"/>
      <c r="D50" s="12"/>
      <c r="E50" s="1"/>
      <c r="F50" s="1"/>
      <c r="G50" s="1"/>
      <c r="I50" s="67"/>
      <c r="J50" s="64"/>
      <c r="K50" s="68"/>
      <c r="L50" s="63"/>
      <c r="N50" s="71"/>
      <c r="O50" s="71"/>
      <c r="P50" s="70"/>
      <c r="Q50" s="73"/>
    </row>
    <row r="51" spans="2:17" x14ac:dyDescent="0.2">
      <c r="B51" s="12"/>
      <c r="C51" s="1"/>
      <c r="D51" s="12"/>
      <c r="E51" s="1"/>
      <c r="F51" s="1"/>
      <c r="G51" s="1"/>
      <c r="I51" s="63"/>
      <c r="J51" s="64"/>
      <c r="K51" s="63"/>
      <c r="L51" s="63"/>
      <c r="N51" s="71"/>
      <c r="O51" s="71"/>
      <c r="P51" s="70"/>
      <c r="Q51" s="73"/>
    </row>
    <row r="52" spans="2:17" x14ac:dyDescent="0.2">
      <c r="B52" s="12"/>
      <c r="C52" s="1"/>
      <c r="D52" s="12"/>
      <c r="E52" s="1"/>
      <c r="F52" s="1"/>
      <c r="G52" s="1"/>
      <c r="I52" s="63"/>
      <c r="J52" s="64"/>
      <c r="K52" s="63"/>
      <c r="L52" s="63"/>
      <c r="N52" s="71"/>
      <c r="O52" s="71"/>
      <c r="P52" s="70"/>
      <c r="Q52" s="73"/>
    </row>
    <row r="53" spans="2:17" x14ac:dyDescent="0.2">
      <c r="B53" s="12"/>
      <c r="D53" s="12"/>
      <c r="E53" s="1"/>
      <c r="F53" s="1"/>
      <c r="G53" s="1"/>
      <c r="I53" s="63"/>
      <c r="J53" s="64"/>
      <c r="K53" s="63"/>
      <c r="L53" s="63"/>
      <c r="P53" s="15"/>
      <c r="Q53" s="34"/>
    </row>
    <row r="54" spans="2:17" x14ac:dyDescent="0.2">
      <c r="I54" s="63"/>
      <c r="J54" s="64"/>
      <c r="K54" s="63"/>
      <c r="L54" s="63"/>
      <c r="P54" s="15"/>
      <c r="Q54" s="34"/>
    </row>
    <row r="55" spans="2:17" x14ac:dyDescent="0.2">
      <c r="B55" s="30"/>
      <c r="C55" s="1" t="s">
        <v>83</v>
      </c>
      <c r="I55" s="63"/>
      <c r="J55" s="64"/>
      <c r="K55" s="63"/>
      <c r="L55" s="63"/>
    </row>
    <row r="56" spans="2:17" x14ac:dyDescent="0.2">
      <c r="B56" s="38"/>
      <c r="C56" s="1" t="s">
        <v>84</v>
      </c>
      <c r="I56" s="63"/>
      <c r="J56" s="64"/>
      <c r="K56" s="63"/>
      <c r="L56" s="63"/>
    </row>
    <row r="57" spans="2:17" x14ac:dyDescent="0.2">
      <c r="I57" s="63"/>
      <c r="J57" s="64"/>
      <c r="K57" s="63"/>
      <c r="L57" s="63"/>
    </row>
    <row r="58" spans="2:17" x14ac:dyDescent="0.2">
      <c r="I58" s="65"/>
      <c r="J58" s="65"/>
      <c r="K58" s="65"/>
    </row>
    <row r="65" spans="1:23" s="1" customFormat="1" x14ac:dyDescent="0.2">
      <c r="A65"/>
      <c r="B65"/>
      <c r="C65"/>
      <c r="D65"/>
      <c r="E65"/>
      <c r="F65"/>
      <c r="G65"/>
      <c r="H65"/>
      <c r="I65"/>
      <c r="J65"/>
      <c r="K65"/>
      <c r="L65" s="65"/>
      <c r="M65"/>
      <c r="N65"/>
      <c r="O65"/>
      <c r="P65"/>
      <c r="Q65"/>
      <c r="R65"/>
      <c r="S65"/>
      <c r="T65"/>
      <c r="U65"/>
      <c r="V65"/>
      <c r="W65"/>
    </row>
    <row r="66" spans="1:23" x14ac:dyDescent="0.2">
      <c r="W66" s="1"/>
    </row>
    <row r="67" spans="1:23" x14ac:dyDescent="0.2">
      <c r="A67" s="1"/>
    </row>
  </sheetData>
  <pageMargins left="0.75" right="0.75" top="1" bottom="1" header="0.5" footer="0.5"/>
  <pageSetup orientation="portrait" horizontalDpi="4294967292" r:id="rId1"/>
  <headerFooter alignWithMargins="0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60854E-4C4D-467D-BD8A-32231E61C6CE}">
  <dimension ref="B1:Z45"/>
  <sheetViews>
    <sheetView tabSelected="1" topLeftCell="A11" zoomScale="118" zoomScaleNormal="118" workbookViewId="0">
      <selection activeCell="D35" sqref="D35"/>
    </sheetView>
  </sheetViews>
  <sheetFormatPr defaultColWidth="8.85546875" defaultRowHeight="12.75" x14ac:dyDescent="0.2"/>
  <cols>
    <col min="1" max="1" width="3" style="8" customWidth="1"/>
    <col min="2" max="2" width="12.140625" style="8" bestFit="1" customWidth="1"/>
    <col min="3" max="3" width="25.85546875" style="8" customWidth="1"/>
    <col min="4" max="4" width="13.85546875" style="8" bestFit="1" customWidth="1"/>
    <col min="5" max="5" width="20" style="8" bestFit="1" customWidth="1"/>
    <col min="6" max="6" width="13.140625" style="8" bestFit="1" customWidth="1"/>
    <col min="7" max="7" width="9.5703125" style="8" bestFit="1" customWidth="1"/>
    <col min="8" max="8" width="7.85546875" style="8" bestFit="1" customWidth="1"/>
    <col min="9" max="9" width="8.140625" style="8" customWidth="1"/>
    <col min="10" max="10" width="12.85546875" style="8" bestFit="1" customWidth="1"/>
    <col min="11" max="14" width="8.140625" style="8" customWidth="1"/>
    <col min="15" max="16" width="8.140625" style="57" customWidth="1"/>
    <col min="17" max="17" width="12.7109375" style="8" bestFit="1" customWidth="1"/>
    <col min="18" max="18" width="7.140625" style="8" customWidth="1"/>
    <col min="19" max="19" width="11.42578125" style="8" bestFit="1" customWidth="1"/>
    <col min="20" max="20" width="63.85546875" style="8" bestFit="1" customWidth="1"/>
    <col min="21" max="21" width="8.28515625" style="8" bestFit="1" customWidth="1"/>
    <col min="22" max="22" width="11.7109375" style="8" customWidth="1"/>
    <col min="23" max="23" width="13.42578125" style="8" customWidth="1"/>
    <col min="24" max="24" width="13.85546875" style="8" customWidth="1"/>
    <col min="25" max="25" width="8.42578125" style="8" customWidth="1"/>
    <col min="26" max="16384" width="8.85546875" style="8"/>
  </cols>
  <sheetData>
    <row r="1" spans="2:26" ht="15" x14ac:dyDescent="0.25">
      <c r="B1" s="3" t="s">
        <v>38</v>
      </c>
      <c r="C1" s="3" t="s">
        <v>39</v>
      </c>
      <c r="D1" s="3" t="s">
        <v>40</v>
      </c>
      <c r="E1" s="3" t="s">
        <v>71</v>
      </c>
      <c r="F1" s="3" t="s">
        <v>41</v>
      </c>
      <c r="G1" s="3"/>
      <c r="H1" s="3" t="s">
        <v>85</v>
      </c>
    </row>
    <row r="2" spans="2:26" ht="31.5" x14ac:dyDescent="0.25">
      <c r="B2" s="4" t="s">
        <v>99</v>
      </c>
      <c r="C2" s="4" t="s">
        <v>100</v>
      </c>
      <c r="D2" s="39" t="str">
        <f>"Demand Technologies"</f>
        <v>Demand Technologies</v>
      </c>
      <c r="E2" s="4" t="s">
        <v>58</v>
      </c>
      <c r="F2" s="4" t="s">
        <v>101</v>
      </c>
      <c r="G2" s="4"/>
      <c r="H2" s="4" t="s">
        <v>98</v>
      </c>
      <c r="Q2" s="40" t="s">
        <v>7</v>
      </c>
      <c r="R2" s="40"/>
      <c r="S2" s="16"/>
      <c r="T2" s="16"/>
      <c r="U2" s="16"/>
      <c r="V2" s="16"/>
      <c r="W2" s="16"/>
      <c r="X2" s="16"/>
      <c r="Y2" s="16"/>
    </row>
    <row r="3" spans="2:26" x14ac:dyDescent="0.2">
      <c r="Q3" s="41" t="s">
        <v>8</v>
      </c>
      <c r="R3" s="42" t="s">
        <v>42</v>
      </c>
      <c r="S3" s="41" t="s">
        <v>6</v>
      </c>
      <c r="T3" s="41" t="s">
        <v>9</v>
      </c>
      <c r="U3" s="41" t="s">
        <v>10</v>
      </c>
      <c r="V3" s="41" t="s">
        <v>11</v>
      </c>
      <c r="W3" s="41" t="s">
        <v>12</v>
      </c>
      <c r="X3" s="41" t="s">
        <v>13</v>
      </c>
      <c r="Y3" s="41" t="s">
        <v>14</v>
      </c>
    </row>
    <row r="4" spans="2:26" ht="24" thickBot="1" x14ac:dyDescent="0.3">
      <c r="B4" s="43"/>
      <c r="C4" s="43"/>
      <c r="D4" s="43"/>
      <c r="E4" s="43"/>
      <c r="F4" s="43"/>
      <c r="G4" s="43"/>
      <c r="Q4" s="44" t="s">
        <v>43</v>
      </c>
      <c r="R4" s="44" t="s">
        <v>44</v>
      </c>
      <c r="S4" s="44" t="s">
        <v>23</v>
      </c>
      <c r="T4" s="44" t="s">
        <v>24</v>
      </c>
      <c r="U4" s="44" t="s">
        <v>10</v>
      </c>
      <c r="V4" s="44" t="s">
        <v>45</v>
      </c>
      <c r="W4" s="44" t="s">
        <v>46</v>
      </c>
      <c r="X4" s="44" t="s">
        <v>25</v>
      </c>
      <c r="Y4" s="44" t="s">
        <v>26</v>
      </c>
    </row>
    <row r="5" spans="2:26" ht="15.75" x14ac:dyDescent="0.25">
      <c r="B5" s="43"/>
      <c r="C5" s="43"/>
      <c r="D5" s="43"/>
      <c r="E5" s="43"/>
      <c r="F5" s="43"/>
      <c r="G5" s="43"/>
      <c r="Q5" s="89" t="s">
        <v>59</v>
      </c>
      <c r="R5" s="89"/>
      <c r="S5" s="89" t="s">
        <v>121</v>
      </c>
      <c r="T5" s="89" t="s">
        <v>124</v>
      </c>
      <c r="U5" s="89" t="s">
        <v>58</v>
      </c>
      <c r="V5" s="88"/>
      <c r="W5" s="88"/>
      <c r="X5" s="88"/>
      <c r="Y5" s="88"/>
      <c r="Z5" s="57"/>
    </row>
    <row r="6" spans="2:26" ht="15.75" x14ac:dyDescent="0.25">
      <c r="B6" s="43"/>
      <c r="C6" s="43"/>
      <c r="D6" s="43"/>
      <c r="E6" s="43"/>
      <c r="F6" s="43"/>
      <c r="G6" s="43"/>
      <c r="Q6" s="89" t="s">
        <v>59</v>
      </c>
      <c r="R6" s="89"/>
      <c r="S6" s="89" t="s">
        <v>123</v>
      </c>
      <c r="T6" s="89" t="s">
        <v>125</v>
      </c>
      <c r="U6" s="89" t="s">
        <v>58</v>
      </c>
      <c r="V6" s="59"/>
      <c r="W6" s="59"/>
      <c r="X6" s="59"/>
      <c r="Y6" s="59"/>
      <c r="Z6" s="57"/>
    </row>
    <row r="7" spans="2:26" ht="15.75" x14ac:dyDescent="0.25">
      <c r="B7" s="43"/>
      <c r="C7" s="43"/>
      <c r="D7" s="43"/>
      <c r="E7" s="43"/>
      <c r="F7" s="43"/>
      <c r="G7" s="43"/>
      <c r="Q7" s="90" t="s">
        <v>59</v>
      </c>
      <c r="R7" s="90"/>
      <c r="S7" s="90" t="s">
        <v>122</v>
      </c>
      <c r="T7" s="90" t="s">
        <v>126</v>
      </c>
      <c r="U7" s="90" t="s">
        <v>58</v>
      </c>
      <c r="V7" s="59"/>
      <c r="W7" s="59"/>
      <c r="X7" s="59"/>
      <c r="Y7" s="59"/>
      <c r="Z7" s="57"/>
    </row>
    <row r="8" spans="2:26" ht="15.75" x14ac:dyDescent="0.25">
      <c r="B8" s="43"/>
      <c r="C8" s="43"/>
      <c r="D8" s="43"/>
      <c r="E8" s="43"/>
      <c r="F8" s="43"/>
      <c r="G8" s="43"/>
      <c r="Q8" s="90"/>
      <c r="R8" s="90"/>
      <c r="S8" s="90"/>
      <c r="T8" s="90"/>
      <c r="U8" s="90"/>
      <c r="V8" s="59"/>
      <c r="W8" s="59"/>
      <c r="X8" s="59"/>
      <c r="Y8" s="59"/>
      <c r="Z8" s="57"/>
    </row>
    <row r="9" spans="2:26" ht="15.75" x14ac:dyDescent="0.25">
      <c r="B9" s="43"/>
      <c r="C9" s="43"/>
      <c r="D9" s="43"/>
      <c r="E9" s="43"/>
      <c r="F9" s="43"/>
      <c r="G9" s="43"/>
      <c r="Q9" s="90"/>
      <c r="R9" s="90"/>
      <c r="S9" s="90"/>
      <c r="T9" s="90"/>
      <c r="U9" s="90"/>
      <c r="V9" s="59"/>
      <c r="W9" s="59"/>
      <c r="X9" s="59"/>
      <c r="Y9" s="59"/>
      <c r="Z9" s="57"/>
    </row>
    <row r="10" spans="2:26" ht="15.75" x14ac:dyDescent="0.25">
      <c r="B10" s="43"/>
      <c r="C10" s="43"/>
      <c r="D10" s="43"/>
      <c r="E10" s="43"/>
      <c r="F10" s="43"/>
      <c r="G10" s="43"/>
      <c r="Q10" s="90" t="s">
        <v>69</v>
      </c>
      <c r="R10" s="90"/>
      <c r="S10" s="90" t="s">
        <v>138</v>
      </c>
      <c r="T10" s="90" t="s">
        <v>139</v>
      </c>
      <c r="U10" s="90" t="s">
        <v>58</v>
      </c>
      <c r="V10" s="59"/>
      <c r="W10" s="59"/>
      <c r="X10" s="59"/>
      <c r="Y10" s="59"/>
      <c r="Z10" s="57"/>
    </row>
    <row r="11" spans="2:26" x14ac:dyDescent="0.2">
      <c r="Q11" s="91" t="s">
        <v>59</v>
      </c>
      <c r="R11" s="91"/>
      <c r="S11" s="91" t="s">
        <v>72</v>
      </c>
      <c r="T11" s="91" t="s">
        <v>103</v>
      </c>
      <c r="U11" s="91" t="s">
        <v>58</v>
      </c>
      <c r="V11" s="91"/>
      <c r="W11" s="91"/>
      <c r="X11" s="91"/>
      <c r="Y11" s="91"/>
      <c r="Z11" s="57"/>
    </row>
    <row r="12" spans="2:26" x14ac:dyDescent="0.2">
      <c r="Q12" s="91" t="s">
        <v>59</v>
      </c>
      <c r="R12" s="91"/>
      <c r="S12" s="91" t="s">
        <v>109</v>
      </c>
      <c r="T12" s="91" t="s">
        <v>104</v>
      </c>
      <c r="U12" s="91" t="s">
        <v>58</v>
      </c>
      <c r="V12" s="91"/>
      <c r="W12" s="91"/>
      <c r="X12" s="91"/>
      <c r="Y12" s="91"/>
    </row>
    <row r="13" spans="2:26" x14ac:dyDescent="0.2">
      <c r="Q13" s="16"/>
      <c r="R13" s="16"/>
      <c r="S13" s="16"/>
      <c r="T13" s="16"/>
      <c r="U13" s="16"/>
      <c r="V13" s="16"/>
      <c r="W13" s="16"/>
      <c r="X13" s="16"/>
      <c r="Y13" s="16"/>
    </row>
    <row r="14" spans="2:26" x14ac:dyDescent="0.2">
      <c r="Q14" s="16"/>
      <c r="R14" s="16"/>
      <c r="S14" s="16"/>
      <c r="T14" s="16"/>
      <c r="U14" s="16"/>
      <c r="V14" s="16"/>
      <c r="W14" s="16"/>
      <c r="X14" s="16"/>
      <c r="Y14" s="16"/>
    </row>
    <row r="16" spans="2:26" x14ac:dyDescent="0.2">
      <c r="D16" s="2" t="s">
        <v>0</v>
      </c>
      <c r="E16" s="2"/>
      <c r="F16" s="2"/>
      <c r="H16" s="2"/>
      <c r="I16" s="9"/>
      <c r="J16" s="9"/>
      <c r="K16" s="9"/>
      <c r="L16" s="9"/>
      <c r="M16" s="9"/>
      <c r="N16" s="9"/>
      <c r="Q16" s="40" t="s">
        <v>17</v>
      </c>
      <c r="R16" s="40"/>
      <c r="S16" s="16"/>
      <c r="T16" s="16"/>
      <c r="U16" s="16"/>
      <c r="V16" s="16"/>
      <c r="W16" s="16"/>
      <c r="X16" s="16"/>
      <c r="Y16" s="16"/>
    </row>
    <row r="17" spans="2:25" ht="24" customHeight="1" x14ac:dyDescent="0.2">
      <c r="B17" s="5" t="s">
        <v>1</v>
      </c>
      <c r="C17" s="5" t="s">
        <v>3</v>
      </c>
      <c r="D17" s="5" t="s">
        <v>4</v>
      </c>
      <c r="E17" s="45" t="s">
        <v>55</v>
      </c>
      <c r="F17" s="46" t="s">
        <v>110</v>
      </c>
      <c r="G17" s="45" t="s">
        <v>16</v>
      </c>
      <c r="H17" s="45" t="s">
        <v>34</v>
      </c>
      <c r="I17" s="45" t="s">
        <v>47</v>
      </c>
      <c r="J17" s="45" t="s">
        <v>36</v>
      </c>
      <c r="K17" s="47" t="s">
        <v>5</v>
      </c>
      <c r="L17" s="47" t="s">
        <v>128</v>
      </c>
      <c r="M17" s="45" t="s">
        <v>56</v>
      </c>
      <c r="N17" s="47" t="s">
        <v>133</v>
      </c>
      <c r="Q17" s="41" t="s">
        <v>15</v>
      </c>
      <c r="R17" s="42" t="s">
        <v>42</v>
      </c>
      <c r="S17" s="41" t="s">
        <v>1</v>
      </c>
      <c r="T17" s="41" t="s">
        <v>2</v>
      </c>
      <c r="U17" s="41" t="s">
        <v>18</v>
      </c>
      <c r="V17" s="41" t="s">
        <v>19</v>
      </c>
      <c r="W17" s="41" t="s">
        <v>20</v>
      </c>
      <c r="X17" s="41" t="s">
        <v>21</v>
      </c>
      <c r="Y17" s="41" t="s">
        <v>22</v>
      </c>
    </row>
    <row r="18" spans="2:25" ht="45.75" thickBot="1" x14ac:dyDescent="0.25">
      <c r="B18" s="48" t="s">
        <v>48</v>
      </c>
      <c r="C18" s="48" t="s">
        <v>32</v>
      </c>
      <c r="D18" s="48" t="s">
        <v>33</v>
      </c>
      <c r="E18" s="48" t="s">
        <v>54</v>
      </c>
      <c r="F18" s="48" t="s">
        <v>86</v>
      </c>
      <c r="G18" s="48" t="s">
        <v>35</v>
      </c>
      <c r="H18" s="49" t="s">
        <v>49</v>
      </c>
      <c r="I18" s="48" t="s">
        <v>57</v>
      </c>
      <c r="J18" s="48" t="s">
        <v>87</v>
      </c>
      <c r="K18" s="49" t="s">
        <v>37</v>
      </c>
      <c r="L18" s="49" t="s">
        <v>129</v>
      </c>
      <c r="M18" s="49" t="s">
        <v>80</v>
      </c>
      <c r="N18" s="49" t="s">
        <v>134</v>
      </c>
      <c r="Q18" s="44" t="s">
        <v>50</v>
      </c>
      <c r="R18" s="44" t="s">
        <v>44</v>
      </c>
      <c r="S18" s="44" t="s">
        <v>27</v>
      </c>
      <c r="T18" s="44" t="s">
        <v>28</v>
      </c>
      <c r="U18" s="44" t="s">
        <v>29</v>
      </c>
      <c r="V18" s="44" t="s">
        <v>30</v>
      </c>
      <c r="W18" s="44" t="s">
        <v>51</v>
      </c>
      <c r="X18" s="44" t="s">
        <v>52</v>
      </c>
      <c r="Y18" s="44" t="s">
        <v>31</v>
      </c>
    </row>
    <row r="19" spans="2:25" ht="23.25" thickBot="1" x14ac:dyDescent="0.25">
      <c r="B19" s="50" t="s">
        <v>53</v>
      </c>
      <c r="C19" s="50"/>
      <c r="D19" s="50"/>
      <c r="E19" s="51"/>
      <c r="F19" s="51"/>
      <c r="G19" s="51"/>
      <c r="H19" s="52"/>
      <c r="I19" s="51" t="s">
        <v>54</v>
      </c>
      <c r="J19" s="51" t="s">
        <v>127</v>
      </c>
      <c r="K19" s="52"/>
      <c r="L19" s="51" t="s">
        <v>81</v>
      </c>
      <c r="M19" s="52"/>
      <c r="N19" s="52" t="s">
        <v>135</v>
      </c>
      <c r="Q19" s="44" t="s">
        <v>82</v>
      </c>
      <c r="R19" s="44"/>
      <c r="S19" s="44"/>
      <c r="T19" s="44"/>
      <c r="U19" s="44"/>
      <c r="V19" s="44"/>
      <c r="W19" s="44"/>
      <c r="X19" s="44"/>
      <c r="Y19" s="44"/>
    </row>
    <row r="20" spans="2:25" x14ac:dyDescent="0.2">
      <c r="B20" s="9" t="str">
        <f>S20</f>
        <v>Furnace</v>
      </c>
      <c r="C20" s="9" t="s">
        <v>69</v>
      </c>
      <c r="D20" s="54" t="str">
        <f>S5</f>
        <v>ELCHEAT</v>
      </c>
      <c r="E20" s="83">
        <v>2030</v>
      </c>
      <c r="F20" s="55"/>
      <c r="G20" s="56">
        <v>1</v>
      </c>
      <c r="H20" s="56">
        <v>1</v>
      </c>
      <c r="I20" s="56">
        <v>30</v>
      </c>
      <c r="J20" s="56">
        <v>1515</v>
      </c>
      <c r="K20" s="56"/>
      <c r="L20" s="57"/>
      <c r="M20" s="57">
        <v>8.76</v>
      </c>
      <c r="N20" s="57"/>
      <c r="Q20" s="72" t="s">
        <v>120</v>
      </c>
      <c r="R20" s="71"/>
      <c r="S20" s="69" t="s">
        <v>66</v>
      </c>
      <c r="T20" s="73" t="s">
        <v>118</v>
      </c>
      <c r="U20" s="9" t="s">
        <v>58</v>
      </c>
      <c r="V20" s="9" t="s">
        <v>88</v>
      </c>
      <c r="W20" s="92"/>
      <c r="X20" s="56"/>
      <c r="Y20" s="56"/>
    </row>
    <row r="21" spans="2:25" x14ac:dyDescent="0.2">
      <c r="B21" s="9" t="str">
        <f>S$21</f>
        <v>BIOBoiler</v>
      </c>
      <c r="C21" s="9" t="str">
        <f>PRI_Sector_Fuels!P5</f>
        <v>MANBIOMIN</v>
      </c>
      <c r="D21" s="54" t="str">
        <f>S6</f>
        <v>BIOHEAT</v>
      </c>
      <c r="E21" s="83">
        <v>2030</v>
      </c>
      <c r="F21" s="55"/>
      <c r="G21" s="56">
        <v>0.8</v>
      </c>
      <c r="H21" s="56">
        <v>1</v>
      </c>
      <c r="I21" s="56">
        <v>20</v>
      </c>
      <c r="J21" s="56">
        <v>1515</v>
      </c>
      <c r="K21" s="56"/>
      <c r="L21" s="57"/>
      <c r="M21" s="57">
        <v>8.76</v>
      </c>
      <c r="N21" s="57"/>
      <c r="Q21" s="71" t="s">
        <v>120</v>
      </c>
      <c r="R21" s="71"/>
      <c r="S21" s="70" t="s">
        <v>111</v>
      </c>
      <c r="T21" s="73" t="s">
        <v>102</v>
      </c>
      <c r="U21" s="9" t="s">
        <v>58</v>
      </c>
      <c r="V21" s="9" t="s">
        <v>88</v>
      </c>
      <c r="W21" s="56"/>
      <c r="X21" s="56"/>
      <c r="Y21" s="56"/>
    </row>
    <row r="22" spans="2:25" x14ac:dyDescent="0.2">
      <c r="B22" s="9" t="str">
        <f>S24</f>
        <v>ELCBoiler</v>
      </c>
      <c r="C22" s="9" t="s">
        <v>69</v>
      </c>
      <c r="D22" s="54" t="str">
        <f>S5</f>
        <v>ELCHEAT</v>
      </c>
      <c r="E22" s="83">
        <v>2030</v>
      </c>
      <c r="F22" s="55"/>
      <c r="G22" s="56">
        <v>0.8</v>
      </c>
      <c r="H22" s="56">
        <v>1</v>
      </c>
      <c r="I22" s="56">
        <v>20</v>
      </c>
      <c r="J22" s="56">
        <v>1515</v>
      </c>
      <c r="K22" s="56"/>
      <c r="L22" s="57"/>
      <c r="M22" s="57">
        <v>8.76</v>
      </c>
      <c r="N22" s="57"/>
      <c r="Q22" s="71" t="s">
        <v>120</v>
      </c>
      <c r="R22" s="71"/>
      <c r="S22" s="70" t="s">
        <v>112</v>
      </c>
      <c r="T22" s="73" t="s">
        <v>117</v>
      </c>
      <c r="U22" s="9" t="s">
        <v>58</v>
      </c>
      <c r="V22" s="9" t="s">
        <v>88</v>
      </c>
      <c r="W22" s="56"/>
      <c r="X22" s="56"/>
      <c r="Y22" s="56"/>
    </row>
    <row r="23" spans="2:25" s="56" customFormat="1" x14ac:dyDescent="0.2">
      <c r="B23" s="9" t="str">
        <f>S22</f>
        <v>BIOKiln</v>
      </c>
      <c r="C23" s="9" t="str">
        <f>PRI_Sector_Fuels!P5</f>
        <v>MANBIOMIN</v>
      </c>
      <c r="D23" s="54" t="s">
        <v>142</v>
      </c>
      <c r="E23" s="83">
        <v>2030</v>
      </c>
      <c r="F23" s="55"/>
      <c r="G23" s="56">
        <v>0.55000000000000004</v>
      </c>
      <c r="H23" s="56">
        <v>1</v>
      </c>
      <c r="I23" s="56">
        <v>20</v>
      </c>
      <c r="J23" s="56">
        <v>1515</v>
      </c>
      <c r="M23" s="57">
        <v>8.76</v>
      </c>
      <c r="Q23" s="71" t="s">
        <v>120</v>
      </c>
      <c r="R23" s="71"/>
      <c r="S23" s="70" t="s">
        <v>113</v>
      </c>
      <c r="T23" s="73" t="s">
        <v>114</v>
      </c>
      <c r="U23" s="9" t="s">
        <v>58</v>
      </c>
      <c r="V23" s="9" t="s">
        <v>88</v>
      </c>
    </row>
    <row r="24" spans="2:25" s="56" customFormat="1" x14ac:dyDescent="0.2">
      <c r="B24" s="54" t="str">
        <f>S23</f>
        <v>GASBoiler</v>
      </c>
      <c r="C24" s="9" t="str">
        <f>PRI_Sector_Fuels!P6</f>
        <v>MANGASMIN</v>
      </c>
      <c r="D24" s="54" t="s">
        <v>141</v>
      </c>
      <c r="E24" s="83">
        <v>2030</v>
      </c>
      <c r="F24" s="55"/>
      <c r="G24" s="56">
        <v>1</v>
      </c>
      <c r="H24" s="56">
        <v>1</v>
      </c>
      <c r="I24" s="56">
        <v>25</v>
      </c>
      <c r="J24" s="56">
        <v>1515</v>
      </c>
      <c r="M24" s="57">
        <v>8.76</v>
      </c>
      <c r="Q24" s="71" t="s">
        <v>120</v>
      </c>
      <c r="R24" s="71"/>
      <c r="S24" s="70" t="s">
        <v>115</v>
      </c>
      <c r="T24" s="73" t="s">
        <v>116</v>
      </c>
      <c r="U24" s="9" t="s">
        <v>58</v>
      </c>
      <c r="V24" s="9" t="s">
        <v>88</v>
      </c>
    </row>
    <row r="25" spans="2:25" s="56" customFormat="1" x14ac:dyDescent="0.2">
      <c r="B25" s="54" t="str">
        <f>S26</f>
        <v>WNDTRBN</v>
      </c>
      <c r="C25" s="9"/>
      <c r="D25" s="54" t="s">
        <v>69</v>
      </c>
      <c r="E25" s="83">
        <v>2030</v>
      </c>
      <c r="F25" s="55"/>
      <c r="G25" s="56">
        <v>1</v>
      </c>
      <c r="H25" s="56">
        <v>1</v>
      </c>
      <c r="I25" s="56">
        <v>25</v>
      </c>
      <c r="J25" s="56">
        <v>1041</v>
      </c>
      <c r="K25" s="56">
        <v>38</v>
      </c>
      <c r="M25" s="57">
        <v>8.76</v>
      </c>
      <c r="Q25" s="71" t="s">
        <v>120</v>
      </c>
      <c r="R25" s="71"/>
      <c r="S25" s="70" t="s">
        <v>65</v>
      </c>
      <c r="T25" s="73" t="s">
        <v>119</v>
      </c>
      <c r="U25" s="9" t="s">
        <v>58</v>
      </c>
      <c r="V25" s="9" t="s">
        <v>88</v>
      </c>
      <c r="W25" s="56" t="s">
        <v>89</v>
      </c>
    </row>
    <row r="26" spans="2:25" s="56" customFormat="1" x14ac:dyDescent="0.2">
      <c r="B26" s="54" t="str">
        <f>S27</f>
        <v>SOLPV</v>
      </c>
      <c r="C26" s="9"/>
      <c r="D26" s="54" t="s">
        <v>69</v>
      </c>
      <c r="E26" s="83">
        <v>2030</v>
      </c>
      <c r="F26" s="55"/>
      <c r="G26" s="56">
        <v>1</v>
      </c>
      <c r="H26" s="56">
        <v>1</v>
      </c>
      <c r="I26" s="56">
        <v>25</v>
      </c>
      <c r="J26" s="56">
        <v>691</v>
      </c>
      <c r="K26" s="56">
        <v>1125</v>
      </c>
      <c r="M26" s="57">
        <v>8.76</v>
      </c>
      <c r="Q26" s="71" t="s">
        <v>69</v>
      </c>
      <c r="R26" s="71"/>
      <c r="S26" s="70" t="s">
        <v>94</v>
      </c>
      <c r="T26" s="73" t="s">
        <v>97</v>
      </c>
      <c r="U26" s="9" t="s">
        <v>58</v>
      </c>
      <c r="V26" s="9" t="s">
        <v>88</v>
      </c>
      <c r="W26" s="56" t="s">
        <v>89</v>
      </c>
    </row>
    <row r="27" spans="2:25" s="56" customFormat="1" x14ac:dyDescent="0.2">
      <c r="B27" s="54" t="str">
        <f>S25</f>
        <v>CSP</v>
      </c>
      <c r="C27" s="9"/>
      <c r="D27" s="54" t="str">
        <f>S7</f>
        <v>SOLHEAT</v>
      </c>
      <c r="E27" s="83">
        <v>2030</v>
      </c>
      <c r="F27" s="55"/>
      <c r="G27" s="56">
        <v>1</v>
      </c>
      <c r="H27" s="56">
        <v>1</v>
      </c>
      <c r="I27" s="56">
        <v>25</v>
      </c>
      <c r="J27" s="56">
        <v>3677</v>
      </c>
      <c r="L27" s="56">
        <v>14</v>
      </c>
      <c r="M27" s="57">
        <v>8.76</v>
      </c>
      <c r="Q27" s="71" t="s">
        <v>69</v>
      </c>
      <c r="R27" s="71"/>
      <c r="S27" s="70" t="s">
        <v>95</v>
      </c>
      <c r="T27" s="73" t="s">
        <v>96</v>
      </c>
      <c r="U27" s="9" t="s">
        <v>58</v>
      </c>
      <c r="V27" s="9" t="s">
        <v>88</v>
      </c>
      <c r="W27" s="56" t="s">
        <v>89</v>
      </c>
    </row>
    <row r="28" spans="2:25" s="56" customFormat="1" x14ac:dyDescent="0.2">
      <c r="B28" s="8" t="str">
        <f>S28</f>
        <v>RNWHEAT</v>
      </c>
      <c r="C28" s="16" t="str">
        <f>S5</f>
        <v>ELCHEAT</v>
      </c>
      <c r="D28" s="54" t="s">
        <v>141</v>
      </c>
      <c r="E28" s="83">
        <v>2030</v>
      </c>
      <c r="F28" s="55"/>
      <c r="G28" s="56">
        <v>1</v>
      </c>
      <c r="H28" s="56">
        <v>1</v>
      </c>
      <c r="I28" s="56">
        <v>25</v>
      </c>
      <c r="J28" s="56">
        <v>0</v>
      </c>
      <c r="K28" s="8"/>
      <c r="M28" s="57">
        <v>8.76</v>
      </c>
      <c r="Q28" s="8" t="s">
        <v>120</v>
      </c>
      <c r="R28" s="8"/>
      <c r="S28" s="8" t="s">
        <v>137</v>
      </c>
      <c r="T28" s="8" t="s">
        <v>140</v>
      </c>
      <c r="U28" s="8" t="s">
        <v>58</v>
      </c>
      <c r="V28" s="9" t="s">
        <v>88</v>
      </c>
      <c r="W28" s="8"/>
      <c r="X28" s="8"/>
      <c r="Y28" s="8"/>
    </row>
    <row r="29" spans="2:25" s="56" customFormat="1" x14ac:dyDescent="0.2">
      <c r="B29" s="8" t="str">
        <f>S28</f>
        <v>RNWHEAT</v>
      </c>
      <c r="C29" s="16" t="str">
        <f>S6</f>
        <v>BIOHEAT</v>
      </c>
      <c r="D29" s="54" t="s">
        <v>141</v>
      </c>
      <c r="E29" s="83">
        <v>2030</v>
      </c>
      <c r="F29" s="55"/>
      <c r="G29" s="56">
        <v>1</v>
      </c>
      <c r="H29" s="56">
        <v>1</v>
      </c>
      <c r="I29" s="56">
        <v>25</v>
      </c>
      <c r="J29" s="56">
        <v>0</v>
      </c>
      <c r="K29" s="8"/>
      <c r="M29" s="57">
        <v>8.76</v>
      </c>
    </row>
    <row r="30" spans="2:25" s="56" customFormat="1" x14ac:dyDescent="0.2">
      <c r="B30" s="8" t="str">
        <f>S28</f>
        <v>RNWHEAT</v>
      </c>
      <c r="C30" s="16" t="str">
        <f>S7</f>
        <v>SOLHEAT</v>
      </c>
      <c r="D30" s="54" t="s">
        <v>141</v>
      </c>
      <c r="E30" s="83">
        <v>2030</v>
      </c>
      <c r="F30" s="55"/>
      <c r="G30" s="56">
        <v>1</v>
      </c>
      <c r="H30" s="56">
        <v>1</v>
      </c>
      <c r="I30" s="56">
        <v>25</v>
      </c>
      <c r="J30" s="56">
        <v>0</v>
      </c>
      <c r="K30" s="8"/>
      <c r="M30" s="57">
        <v>8.76</v>
      </c>
      <c r="Q30" s="8"/>
      <c r="R30" s="8"/>
      <c r="S30" s="8"/>
      <c r="T30" s="8"/>
      <c r="U30" s="8"/>
      <c r="V30" s="8"/>
      <c r="W30" s="8"/>
      <c r="X30" s="8"/>
      <c r="Y30" s="8"/>
    </row>
    <row r="31" spans="2:25" s="56" customFormat="1" x14ac:dyDescent="0.2">
      <c r="B31" s="16" t="str">
        <f>S23</f>
        <v>GASBoiler</v>
      </c>
      <c r="C31" s="16"/>
      <c r="D31" s="54" t="s">
        <v>136</v>
      </c>
      <c r="E31" s="83">
        <v>2030</v>
      </c>
      <c r="F31" s="55"/>
      <c r="H31" s="56">
        <v>1</v>
      </c>
      <c r="I31" s="56">
        <v>25</v>
      </c>
      <c r="J31" s="56">
        <v>0</v>
      </c>
      <c r="K31" s="8"/>
      <c r="M31" s="57">
        <v>8.76</v>
      </c>
      <c r="N31" s="56">
        <v>0.20200000000000001</v>
      </c>
      <c r="Q31" s="8"/>
      <c r="R31" s="8"/>
      <c r="S31" s="8"/>
      <c r="T31" s="8"/>
      <c r="U31" s="8"/>
      <c r="V31" s="8"/>
      <c r="W31" s="8"/>
      <c r="X31" s="8"/>
      <c r="Y31" s="8"/>
    </row>
    <row r="32" spans="2:25" s="56" customFormat="1" x14ac:dyDescent="0.2">
      <c r="B32" s="16"/>
      <c r="C32" s="16"/>
      <c r="D32" s="54"/>
      <c r="E32" s="17"/>
      <c r="F32" s="55"/>
      <c r="K32" s="8"/>
      <c r="M32" s="57"/>
      <c r="Q32" s="8"/>
      <c r="R32" s="8"/>
      <c r="S32" s="8"/>
      <c r="T32" s="8"/>
      <c r="U32" s="8"/>
      <c r="V32" s="8"/>
      <c r="W32" s="8"/>
      <c r="X32" s="8"/>
      <c r="Y32" s="8"/>
    </row>
    <row r="33" spans="2:25" s="56" customFormat="1" x14ac:dyDescent="0.2">
      <c r="B33" s="16"/>
      <c r="C33" s="16"/>
      <c r="D33" s="54"/>
      <c r="E33" s="17"/>
      <c r="F33" s="55"/>
      <c r="K33" s="8"/>
      <c r="M33" s="57"/>
      <c r="Q33" s="8"/>
      <c r="R33" s="8"/>
      <c r="S33" s="8"/>
      <c r="T33" s="8"/>
      <c r="U33" s="8"/>
      <c r="V33" s="8"/>
      <c r="W33" s="8"/>
      <c r="X33" s="8"/>
      <c r="Y33" s="8"/>
    </row>
    <row r="34" spans="2:25" s="56" customFormat="1" x14ac:dyDescent="0.2">
      <c r="B34" s="8"/>
      <c r="C34" s="16"/>
      <c r="D34" s="54"/>
      <c r="E34" s="17"/>
      <c r="F34" s="55"/>
      <c r="K34" s="8"/>
      <c r="Q34" s="8"/>
      <c r="R34" s="8"/>
      <c r="S34" s="8"/>
      <c r="T34" s="8"/>
      <c r="U34" s="8"/>
      <c r="V34" s="8"/>
      <c r="W34" s="8"/>
      <c r="X34" s="8"/>
      <c r="Y34" s="8"/>
    </row>
    <row r="35" spans="2:25" s="56" customFormat="1" x14ac:dyDescent="0.2">
      <c r="B35" s="16"/>
      <c r="C35" s="16"/>
      <c r="D35" s="54"/>
      <c r="E35" s="17"/>
      <c r="F35" s="55"/>
      <c r="J35" s="81"/>
      <c r="K35" s="8"/>
      <c r="Q35" s="21"/>
      <c r="R35" s="21"/>
      <c r="S35" s="19"/>
      <c r="T35" s="37"/>
      <c r="U35" s="21"/>
      <c r="V35" s="21"/>
      <c r="W35" s="21"/>
      <c r="X35" s="8"/>
      <c r="Y35" s="8"/>
    </row>
    <row r="36" spans="2:25" s="56" customFormat="1" x14ac:dyDescent="0.2">
      <c r="B36" s="16"/>
      <c r="C36" s="8"/>
      <c r="D36" s="54"/>
      <c r="E36" s="17"/>
      <c r="F36" s="58"/>
      <c r="G36" s="8"/>
      <c r="H36" s="8"/>
      <c r="I36" s="8"/>
      <c r="J36" s="82"/>
      <c r="K36" s="8"/>
      <c r="Q36" s="21"/>
      <c r="R36" s="21"/>
      <c r="S36" s="19"/>
      <c r="T36" s="37"/>
      <c r="U36" s="21"/>
      <c r="V36" s="21"/>
      <c r="W36" s="21"/>
      <c r="X36" s="8"/>
      <c r="Y36" s="8"/>
    </row>
    <row r="37" spans="2:25" s="57" customFormat="1" x14ac:dyDescent="0.2">
      <c r="B37" s="8"/>
      <c r="C37" s="8"/>
      <c r="D37" s="8"/>
      <c r="E37" s="17"/>
      <c r="F37" s="58"/>
      <c r="G37" s="8"/>
      <c r="H37" s="8"/>
      <c r="I37" s="8"/>
      <c r="J37" s="82"/>
      <c r="K37" s="8"/>
      <c r="Q37" s="8"/>
      <c r="R37" s="8"/>
      <c r="S37" s="8"/>
      <c r="T37" s="8"/>
      <c r="U37" s="16"/>
      <c r="V37" s="16"/>
      <c r="W37" s="62"/>
      <c r="X37" s="8"/>
      <c r="Y37" s="8"/>
    </row>
    <row r="38" spans="2:25" x14ac:dyDescent="0.2">
      <c r="F38" s="58"/>
      <c r="G38" s="10"/>
      <c r="H38" s="60"/>
      <c r="R38" s="57"/>
      <c r="T38" s="57"/>
      <c r="U38" s="59"/>
      <c r="V38" s="59"/>
    </row>
    <row r="39" spans="2:25" x14ac:dyDescent="0.2">
      <c r="H39" s="60"/>
    </row>
    <row r="40" spans="2:25" x14ac:dyDescent="0.2">
      <c r="B40" s="53"/>
      <c r="C40" s="8" t="s">
        <v>83</v>
      </c>
      <c r="H40" s="60"/>
    </row>
    <row r="41" spans="2:25" x14ac:dyDescent="0.2">
      <c r="B41" s="61"/>
      <c r="C41" s="8" t="s">
        <v>84</v>
      </c>
      <c r="H41" s="60"/>
    </row>
    <row r="42" spans="2:25" x14ac:dyDescent="0.2">
      <c r="E42" s="8" t="s">
        <v>90</v>
      </c>
      <c r="F42" s="8" t="s">
        <v>91</v>
      </c>
      <c r="H42" s="60"/>
    </row>
    <row r="44" spans="2:25" x14ac:dyDescent="0.2">
      <c r="E44" s="8" t="s">
        <v>92</v>
      </c>
      <c r="F44" s="8">
        <f>24*365</f>
        <v>8760</v>
      </c>
    </row>
    <row r="45" spans="2:25" x14ac:dyDescent="0.2">
      <c r="E45" s="10"/>
    </row>
  </sheetData>
  <pageMargins left="0.7" right="0.7" top="0.75" bottom="0.75" header="0.3" footer="0.3"/>
  <pageSetup paperSize="9" orientation="portrait" r:id="rId1"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PRI_Sector_Fuels</vt:lpstr>
      <vt:lpstr>DemTechs_INDF</vt:lpstr>
    </vt:vector>
  </TitlesOfParts>
  <Company>KanORS Consulting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Meselu Tegenie Mellaku</cp:lastModifiedBy>
  <dcterms:created xsi:type="dcterms:W3CDTF">2005-06-03T09:41:13Z</dcterms:created>
  <dcterms:modified xsi:type="dcterms:W3CDTF">2025-11-14T15:41:25Z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891491115093231</vt:r8>
  </property>
  <property fmtid="{D5CDD505-2E9C-101B-9397-08002B2CF9AE}" pid="3" name="MSIP_Label_d0484126-3486-41a9-802e-7f1e2277276c_Enabled">
    <vt:lpwstr>true</vt:lpwstr>
  </property>
  <property fmtid="{D5CDD505-2E9C-101B-9397-08002B2CF9AE}" pid="4" name="MSIP_Label_d0484126-3486-41a9-802e-7f1e2277276c_SetDate">
    <vt:lpwstr>2025-10-11T16:06:34Z</vt:lpwstr>
  </property>
  <property fmtid="{D5CDD505-2E9C-101B-9397-08002B2CF9AE}" pid="5" name="MSIP_Label_d0484126-3486-41a9-802e-7f1e2277276c_Method">
    <vt:lpwstr>Standard</vt:lpwstr>
  </property>
  <property fmtid="{D5CDD505-2E9C-101B-9397-08002B2CF9AE}" pid="6" name="MSIP_Label_d0484126-3486-41a9-802e-7f1e2277276c_Name">
    <vt:lpwstr>d0484126-3486-41a9-802e-7f1e2277276c</vt:lpwstr>
  </property>
  <property fmtid="{D5CDD505-2E9C-101B-9397-08002B2CF9AE}" pid="7" name="MSIP_Label_d0484126-3486-41a9-802e-7f1e2277276c_SiteId">
    <vt:lpwstr>eec01f8e-737f-43e3-9ed5-f8a59913bd82</vt:lpwstr>
  </property>
  <property fmtid="{D5CDD505-2E9C-101B-9397-08002B2CF9AE}" pid="8" name="MSIP_Label_d0484126-3486-41a9-802e-7f1e2277276c_ActionId">
    <vt:lpwstr>f8b9e7a1-4aa7-4d95-b0b7-b2f09d7a5476</vt:lpwstr>
  </property>
  <property fmtid="{D5CDD505-2E9C-101B-9397-08002B2CF9AE}" pid="9" name="MSIP_Label_d0484126-3486-41a9-802e-7f1e2277276c_ContentBits">
    <vt:lpwstr>0</vt:lpwstr>
  </property>
  <property fmtid="{D5CDD505-2E9C-101B-9397-08002B2CF9AE}" pid="10" name="MSIP_Label_d0484126-3486-41a9-802e-7f1e2277276c_Tag">
    <vt:lpwstr>10, 3, 0, 1</vt:lpwstr>
  </property>
</Properties>
</file>