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242AA50E-92F9-4A27-B564-FC860C526CE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7" l="1"/>
  <c r="B26" i="7"/>
  <c r="B27" i="7"/>
  <c r="B25" i="7"/>
  <c r="D19" i="6"/>
  <c r="C22" i="7" s="1"/>
  <c r="D20" i="6"/>
  <c r="C24" i="7" s="1"/>
  <c r="B19" i="6"/>
  <c r="B20" i="6"/>
  <c r="C21" i="7"/>
  <c r="B18" i="6"/>
  <c r="B24" i="7"/>
  <c r="B23" i="7"/>
  <c r="B22" i="7"/>
  <c r="B21" i="7"/>
  <c r="D18" i="6"/>
  <c r="D17" i="6"/>
  <c r="B19" i="7"/>
  <c r="B20" i="7"/>
  <c r="B18" i="7"/>
  <c r="C20" i="7"/>
  <c r="C18" i="7"/>
  <c r="B17" i="7"/>
  <c r="Q18" i="6"/>
  <c r="D2" i="7"/>
  <c r="Q17" i="6"/>
  <c r="B17" i="6"/>
  <c r="C23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<sst xmlns="http://schemas.openxmlformats.org/spreadsheetml/2006/main" count="316" uniqueCount="148">
  <si>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</si>
  <si>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</si>
  <si>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</si>
  <si>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</si>
  <si>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</si>
  <si>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</si>
  <si>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</si>
  <si>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</si>
  <si>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</si>
  <si>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</si>
  <si>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</si>
  <si>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</si>
  <si>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</si>
  <si>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</si>
  <si>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</si>
  <si>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</si>
  <si>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</si>
  <si>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</si>
  <si>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</si>
  <si>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</si>
  <si>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</si>
  <si>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</si>
  <si>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</si>
  <si>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</si>
  <si>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</si>
  <si>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</si>
  <si>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</si>
  <si>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</si>
  <si>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</si>
  <si>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</si>
  <si>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</si>
  <si>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</si>
  <si>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</si>
  <si>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</si>
  <si>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</si>
  <si>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</si>
  <si>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</si>
  <si>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</si>
  <si>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</si>
  <si>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</si>
  <si>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</si>
  <si>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</si>
  <si>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</si>
  <si>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</si>
  <si>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</si>
  <si>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</si>
  <si>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</si>
  <si>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</si>
  <si>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</si>
  <si>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</si>
  <si>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</si>
  <si>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</si>
  <si>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</si>
  <si>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</si>
  <si>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</si>
  <si>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</si>
  <si>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</si>
  <si>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</si>
  <si>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</si>
  <si>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</si>
  <si>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</si>
  <si>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</si>
  <si>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</si>
  <si>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</si>
  <si>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</si>
  <si>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</si>
  <si>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</si>
  <si>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</si>
  <si>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</si>
  <si>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</si>
  <si>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</si>
  <si>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</si>
  <si>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</si>
  <si>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</si>
  <si>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</si>
  <si>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</si>
  <si>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</si>
  <si>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</si>
  <si>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</si>
  <si>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</si>
  <si>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</si>
  <si>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</si>
  <si>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</si>
  <si>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</si>
  <si>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</si>
  <si>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</si>
  <si>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</si>
  <si>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</si>
  <si>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</si>
  <si>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</si>
  <si>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</si>
  <si>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</si>
  <si>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</si>
  <si>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</si>
  <si>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</si>
  <si>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</si>
  <si>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</si>
  <si>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</si>
  <si>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</si>
  <si>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</si>
  <si>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</si>
  <si>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</si>
  <si>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</si>
  <si>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</si>
  <si>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</si>
  <si>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</si>
  <si>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</si>
  <si>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</si>
  <si>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</si>
  <si>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</si>
  <si>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</si>
  <si>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</si>
  <si>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</si>
  <si>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</si>
  <si>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</si>
  <si>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</si>
  <si>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</si>
  <si>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</si>
  <si>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</si>
  <si>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</si>
  <si>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</si>
  <si>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</si>
  <si>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</si>
  <si>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</si>
  <si>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</si>
  <si>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</si>
  <si>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</si>
  <si>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</si>
  <si>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</si>
  <si>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</si>
  <si>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</si>
  <si>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</si>
  <si>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</si>
  <si>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</si>
  <si>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</si>
  <si>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</si>
  <si>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</si>
  <si>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</si>
  <si>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</si>
  <si>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</si>
  <si>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</si>
  <si>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</si>
  <si>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</si>
  <si>
    <t>TH2024USD/MWh</t>
  </si>
  <si>
    <t>BIOELC</t>
  </si>
  <si>
    <t>Electricity from Bioenergy</t>
  </si>
  <si>
    <t>BIOPOWER</t>
  </si>
  <si>
    <t>Natural Gas-Domestic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</si>
</sst>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A15" zoomScale="142" zoomScaleNormal="142" workbookViewId="0">
      <selection activeCell="G24" sqref="G24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2" t="s">
        <v>58</v>
      </c>
      <c r="F2" s="72" t="s">
        <v>114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2" t="s">
        <v>58</v>
      </c>
      <c r="F3" s="72" t="s">
        <v>114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2" t="s">
        <v>58</v>
      </c>
      <c r="F4" s="72" t="s">
        <v>114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2" t="s">
        <v>58</v>
      </c>
      <c r="F5" s="72" t="s">
        <v>114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147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124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125</v>
      </c>
      <c r="Q8" s="37" t="s">
        <v>126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114</v>
      </c>
      <c r="J16" s="20" t="s">
        <v>58</v>
      </c>
      <c r="K16" s="21"/>
      <c r="N16" s="13" t="s">
        <v>81</v>
      </c>
      <c r="O16" s="22" t="s">
        <v>107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105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106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/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127</v>
      </c>
      <c r="Q19" s="1" t="s">
        <v>130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/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128</v>
      </c>
      <c r="Q20" s="14" t="s">
        <v>129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6"/>
  <sheetViews>
    <sheetView tabSelected="1" topLeftCell="A16" zoomScale="118" zoomScaleNormal="118" workbookViewId="0">
      <selection activeCell="G36" sqref="G36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1.4414062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94</v>
      </c>
      <c r="C2" s="47" t="s">
        <v>95</v>
      </c>
      <c r="D2" s="48" t="str">
        <f>"Demand Technologies"</f>
        <v>Demand Technologies</v>
      </c>
      <c r="E2" s="47" t="s">
        <v>58</v>
      </c>
      <c r="F2" s="47" t="s">
        <v>115</v>
      </c>
      <c r="G2" s="47"/>
      <c r="H2" s="47" t="s">
        <v>93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7" t="s">
        <v>69</v>
      </c>
      <c r="X5" s="45" t="s">
        <v>139</v>
      </c>
      <c r="Y5" s="77" t="s">
        <v>140</v>
      </c>
      <c r="Z5" s="77" t="s">
        <v>58</v>
      </c>
      <c r="AB5" s="77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7" t="s">
        <v>69</v>
      </c>
      <c r="X6" s="45" t="s">
        <v>138</v>
      </c>
      <c r="Y6" s="77" t="s">
        <v>141</v>
      </c>
      <c r="Z6" s="77" t="s">
        <v>58</v>
      </c>
      <c r="AB6" s="77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144</v>
      </c>
      <c r="Y7" s="45" t="s">
        <v>145</v>
      </c>
      <c r="Z7" s="77" t="s">
        <v>58</v>
      </c>
      <c r="AB7" s="77" t="s">
        <v>88</v>
      </c>
    </row>
    <row r="8" spans="2:51" x14ac:dyDescent="0.25">
      <c r="AE8" s="46"/>
    </row>
    <row r="9" spans="2:51" x14ac:dyDescent="0.25">
      <c r="V9" s="50"/>
      <c r="W9" s="50"/>
      <c r="X9" s="50"/>
      <c r="Y9" s="50"/>
      <c r="Z9" s="50"/>
      <c r="AA9" s="50"/>
      <c r="AB9" s="50"/>
      <c r="AC9" s="50"/>
      <c r="AD9" s="50"/>
    </row>
    <row r="10" spans="2:51" x14ac:dyDescent="0.25">
      <c r="V10" s="50"/>
      <c r="W10" s="50"/>
      <c r="X10" s="50"/>
      <c r="Y10" s="50"/>
      <c r="Z10" s="50"/>
      <c r="AA10" s="50"/>
      <c r="AB10" s="50"/>
      <c r="AC10" s="50"/>
      <c r="AD10" s="50"/>
    </row>
    <row r="13" spans="2:51" x14ac:dyDescent="0.25">
      <c r="D13" s="55" t="s">
        <v>0</v>
      </c>
      <c r="E13" s="55"/>
      <c r="F13" s="55"/>
      <c r="H13" s="55"/>
      <c r="V13" s="49" t="s">
        <v>17</v>
      </c>
      <c r="W13" s="49"/>
      <c r="X13" s="50"/>
      <c r="Y13" s="50"/>
      <c r="Z13" s="50"/>
      <c r="AA13" s="50"/>
      <c r="AB13" s="50"/>
      <c r="AC13" s="50"/>
      <c r="AD13" s="50"/>
      <c r="AI13"/>
      <c r="AJ13" s="39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</row>
    <row r="14" spans="2:51" ht="24" customHeight="1" x14ac:dyDescent="0.25">
      <c r="B14" s="56" t="s">
        <v>1</v>
      </c>
      <c r="C14" s="56" t="s">
        <v>3</v>
      </c>
      <c r="D14" s="56" t="s">
        <v>4</v>
      </c>
      <c r="E14" s="57" t="s">
        <v>118</v>
      </c>
      <c r="F14" s="57" t="s">
        <v>16</v>
      </c>
      <c r="G14" s="57" t="s">
        <v>34</v>
      </c>
      <c r="H14" s="57" t="s">
        <v>47</v>
      </c>
      <c r="I14" s="57" t="s">
        <v>36</v>
      </c>
      <c r="J14" s="59" t="s">
        <v>5</v>
      </c>
      <c r="K14" s="59" t="s">
        <v>103</v>
      </c>
      <c r="L14" s="57" t="s">
        <v>56</v>
      </c>
      <c r="M14" s="59" t="s">
        <v>108</v>
      </c>
      <c r="N14" s="58" t="s">
        <v>117</v>
      </c>
      <c r="O14" s="59" t="s">
        <v>120</v>
      </c>
      <c r="P14" s="59" t="s">
        <v>121</v>
      </c>
      <c r="Q14" s="59" t="s">
        <v>122</v>
      </c>
      <c r="R14" s="59" t="s">
        <v>123</v>
      </c>
      <c r="S14" s="59" t="s">
        <v>131</v>
      </c>
      <c r="V14" s="51" t="s">
        <v>15</v>
      </c>
      <c r="W14" s="52" t="s">
        <v>42</v>
      </c>
      <c r="X14" s="51" t="s">
        <v>1</v>
      </c>
      <c r="Y14" s="51" t="s">
        <v>2</v>
      </c>
      <c r="Z14" s="51" t="s">
        <v>18</v>
      </c>
      <c r="AA14" s="51" t="s">
        <v>19</v>
      </c>
      <c r="AB14" s="51" t="s">
        <v>20</v>
      </c>
      <c r="AC14" s="51" t="s">
        <v>21</v>
      </c>
      <c r="AD14" s="51" t="s">
        <v>22</v>
      </c>
      <c r="AI14"/>
      <c r="AJ14" s="39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Y14" s="46"/>
    </row>
    <row r="15" spans="2:51" ht="31.8" thickBot="1" x14ac:dyDescent="0.3">
      <c r="B15" s="32" t="s">
        <v>48</v>
      </c>
      <c r="C15" s="32" t="s">
        <v>32</v>
      </c>
      <c r="D15" s="32" t="s">
        <v>33</v>
      </c>
      <c r="E15" s="32" t="s">
        <v>54</v>
      </c>
      <c r="F15" s="32" t="s">
        <v>35</v>
      </c>
      <c r="G15" s="33" t="s">
        <v>49</v>
      </c>
      <c r="H15" s="32" t="s">
        <v>57</v>
      </c>
      <c r="I15" s="32" t="s">
        <v>86</v>
      </c>
      <c r="J15" s="33" t="s">
        <v>37</v>
      </c>
      <c r="K15" s="33" t="s">
        <v>104</v>
      </c>
      <c r="L15" s="33" t="s">
        <v>80</v>
      </c>
      <c r="M15" s="33" t="s">
        <v>109</v>
      </c>
      <c r="N15" s="32" t="s">
        <v>85</v>
      </c>
      <c r="O15" s="33" t="s">
        <v>119</v>
      </c>
      <c r="P15" s="33" t="s">
        <v>119</v>
      </c>
      <c r="Q15" s="33" t="s">
        <v>119</v>
      </c>
      <c r="R15" s="75" t="s">
        <v>119</v>
      </c>
      <c r="S15" s="75" t="s">
        <v>132</v>
      </c>
      <c r="V15" s="31" t="s">
        <v>50</v>
      </c>
      <c r="W15" s="31" t="s">
        <v>44</v>
      </c>
      <c r="X15" s="31" t="s">
        <v>27</v>
      </c>
      <c r="Y15" s="31" t="s">
        <v>28</v>
      </c>
      <c r="Z15" s="31" t="s">
        <v>29</v>
      </c>
      <c r="AA15" s="31" t="s">
        <v>30</v>
      </c>
      <c r="AB15" s="31" t="s">
        <v>51</v>
      </c>
      <c r="AC15" s="31" t="s">
        <v>52</v>
      </c>
      <c r="AD15" s="31" t="s">
        <v>31</v>
      </c>
      <c r="AI15"/>
      <c r="AJ15" s="39"/>
      <c r="AY15" s="46"/>
    </row>
    <row r="16" spans="2:51" ht="33.75" customHeight="1" thickBot="1" x14ac:dyDescent="0.3">
      <c r="B16" s="34" t="s">
        <v>53</v>
      </c>
      <c r="C16" s="34"/>
      <c r="D16" s="34"/>
      <c r="E16" s="35"/>
      <c r="F16" s="35"/>
      <c r="G16" s="36"/>
      <c r="H16" s="35" t="s">
        <v>54</v>
      </c>
      <c r="I16" s="35" t="s">
        <v>116</v>
      </c>
      <c r="J16" s="35" t="s">
        <v>116</v>
      </c>
      <c r="K16" s="35" t="s">
        <v>143</v>
      </c>
      <c r="L16" s="36"/>
      <c r="M16" s="36" t="s">
        <v>110</v>
      </c>
      <c r="N16" s="35"/>
      <c r="O16" s="36"/>
      <c r="P16" s="36"/>
      <c r="Q16" s="36"/>
      <c r="R16" s="35"/>
      <c r="S16" s="76"/>
      <c r="V16" s="31" t="s">
        <v>81</v>
      </c>
      <c r="W16" s="31"/>
      <c r="X16" s="31"/>
      <c r="Y16" s="31"/>
      <c r="Z16" s="31"/>
      <c r="AA16" s="31"/>
      <c r="AB16" s="31"/>
      <c r="AC16" s="31"/>
      <c r="AD16" s="31"/>
      <c r="AI16"/>
      <c r="AJ16" s="39"/>
      <c r="AY16" s="46"/>
    </row>
    <row r="17" spans="2:51" x14ac:dyDescent="0.25">
      <c r="B17" s="45" t="str">
        <f>X17</f>
        <v>Furnace</v>
      </c>
      <c r="C17" s="45" t="s">
        <v>69</v>
      </c>
      <c r="D17" s="50" t="s">
        <v>112</v>
      </c>
      <c r="E17" s="43">
        <v>2030</v>
      </c>
      <c r="F17" s="64">
        <v>1</v>
      </c>
      <c r="G17" s="64">
        <v>1</v>
      </c>
      <c r="H17" s="43">
        <v>25</v>
      </c>
      <c r="I17" s="64">
        <v>81</v>
      </c>
      <c r="J17" s="64">
        <v>0</v>
      </c>
      <c r="K17" s="64">
        <v>0.24</v>
      </c>
      <c r="L17" s="64">
        <v>8.76</v>
      </c>
      <c r="M17" s="43"/>
      <c r="N17" s="64">
        <v>0.1</v>
      </c>
      <c r="O17" s="64">
        <v>0.15</v>
      </c>
      <c r="P17" s="64">
        <v>0.2</v>
      </c>
      <c r="Q17" s="64">
        <v>0.25</v>
      </c>
      <c r="R17" s="64">
        <v>0.35</v>
      </c>
      <c r="S17" s="43"/>
      <c r="V17" s="60" t="s">
        <v>134</v>
      </c>
      <c r="W17" s="60"/>
      <c r="X17" s="61" t="s">
        <v>66</v>
      </c>
      <c r="Y17" s="62" t="s">
        <v>133</v>
      </c>
      <c r="Z17" s="45" t="s">
        <v>58</v>
      </c>
      <c r="AA17" s="45" t="s">
        <v>87</v>
      </c>
      <c r="AB17" s="63" t="s">
        <v>88</v>
      </c>
      <c r="AC17" s="46"/>
      <c r="AD17" s="46"/>
      <c r="AI17"/>
      <c r="AJ17" s="39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Y17" s="46"/>
    </row>
    <row r="18" spans="2:51" x14ac:dyDescent="0.25">
      <c r="B18" s="45" t="str">
        <f>X$18</f>
        <v>BIOBoiler</v>
      </c>
      <c r="C18" s="45" t="str">
        <f>PRI_Sector_Fuels!P5</f>
        <v>MANBIOMIN</v>
      </c>
      <c r="D18" s="50" t="s">
        <v>112</v>
      </c>
      <c r="E18" s="43">
        <v>2030</v>
      </c>
      <c r="F18" s="64">
        <v>0.7</v>
      </c>
      <c r="G18" s="64">
        <v>0.98</v>
      </c>
      <c r="H18" s="43">
        <v>25</v>
      </c>
      <c r="I18" s="64">
        <v>797.9</v>
      </c>
      <c r="J18" s="64">
        <v>48.48</v>
      </c>
      <c r="K18" s="64">
        <v>3.75</v>
      </c>
      <c r="L18" s="64">
        <v>8.76</v>
      </c>
      <c r="M18" s="43"/>
      <c r="N18" s="68"/>
      <c r="O18" s="43"/>
      <c r="P18" s="43"/>
      <c r="Q18" s="43"/>
      <c r="R18" s="43"/>
      <c r="S18" s="43"/>
      <c r="V18" s="60" t="s">
        <v>134</v>
      </c>
      <c r="W18" s="60"/>
      <c r="X18" s="61" t="s">
        <v>97</v>
      </c>
      <c r="Y18" s="62" t="s">
        <v>96</v>
      </c>
      <c r="Z18" s="45" t="s">
        <v>58</v>
      </c>
      <c r="AA18" s="45" t="s">
        <v>87</v>
      </c>
      <c r="AB18" s="63" t="s">
        <v>88</v>
      </c>
      <c r="AC18" s="46"/>
      <c r="AD18" s="46"/>
      <c r="AI18"/>
      <c r="AJ18" s="39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Y18" s="46"/>
    </row>
    <row r="19" spans="2:51" x14ac:dyDescent="0.25">
      <c r="B19" s="45" t="str">
        <f>X21</f>
        <v>ELCBoiler</v>
      </c>
      <c r="C19" s="45" t="s">
        <v>69</v>
      </c>
      <c r="D19" s="50" t="s">
        <v>112</v>
      </c>
      <c r="E19" s="43">
        <v>2030</v>
      </c>
      <c r="F19" s="64">
        <v>0.99</v>
      </c>
      <c r="G19" s="64">
        <v>1</v>
      </c>
      <c r="H19" s="43">
        <v>25</v>
      </c>
      <c r="I19" s="64">
        <v>112.9</v>
      </c>
      <c r="J19" s="64">
        <v>14.26</v>
      </c>
      <c r="K19" s="64">
        <v>1.22</v>
      </c>
      <c r="L19" s="64">
        <v>8.76</v>
      </c>
      <c r="M19" s="43"/>
      <c r="S19" s="43"/>
      <c r="V19" s="60" t="s">
        <v>134</v>
      </c>
      <c r="W19" s="60"/>
      <c r="X19" s="61" t="s">
        <v>98</v>
      </c>
      <c r="Y19" s="62" t="s">
        <v>137</v>
      </c>
      <c r="Z19" s="45" t="s">
        <v>58</v>
      </c>
      <c r="AA19" s="45" t="s">
        <v>87</v>
      </c>
      <c r="AB19" s="63" t="s">
        <v>88</v>
      </c>
      <c r="AC19" s="46"/>
      <c r="AD19" s="46"/>
      <c r="AI19"/>
      <c r="AJ19" s="39"/>
      <c r="AY19" s="46"/>
    </row>
    <row r="20" spans="2:51" s="46" customFormat="1" x14ac:dyDescent="0.25">
      <c r="B20" s="45" t="str">
        <f>X19</f>
        <v>BIOKiln</v>
      </c>
      <c r="C20" s="45" t="str">
        <f>PRI_Sector_Fuels!P5</f>
        <v>MANBIOMIN</v>
      </c>
      <c r="D20" s="50" t="s">
        <v>113</v>
      </c>
      <c r="E20" s="43">
        <v>2030</v>
      </c>
      <c r="F20" s="64">
        <v>0.55600000000000005</v>
      </c>
      <c r="G20" s="64">
        <v>0.98</v>
      </c>
      <c r="H20" s="43">
        <v>25</v>
      </c>
      <c r="I20" s="64">
        <v>297.10000000000002</v>
      </c>
      <c r="J20" s="64">
        <v>4.46</v>
      </c>
      <c r="K20" s="64">
        <v>0.45</v>
      </c>
      <c r="L20" s="64">
        <v>8.76</v>
      </c>
      <c r="M20" s="43"/>
      <c r="N20" s="64">
        <v>0.1</v>
      </c>
      <c r="O20" s="64">
        <v>0.15</v>
      </c>
      <c r="P20" s="64">
        <v>0.2</v>
      </c>
      <c r="Q20" s="64">
        <v>0.25</v>
      </c>
      <c r="R20" s="64">
        <v>0.35</v>
      </c>
      <c r="S20" s="43"/>
      <c r="V20" s="60" t="s">
        <v>134</v>
      </c>
      <c r="W20" s="60"/>
      <c r="X20" s="61" t="s">
        <v>99</v>
      </c>
      <c r="Y20" s="62" t="s">
        <v>100</v>
      </c>
      <c r="Z20" s="45" t="s">
        <v>58</v>
      </c>
      <c r="AA20" s="45" t="s">
        <v>87</v>
      </c>
      <c r="AB20" s="63" t="s">
        <v>88</v>
      </c>
      <c r="AI20"/>
      <c r="AJ20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</row>
    <row r="21" spans="2:51" s="46" customFormat="1" x14ac:dyDescent="0.25">
      <c r="B21" s="50" t="str">
        <f>X20</f>
        <v>GASBoiler</v>
      </c>
      <c r="C21" s="45" t="str">
        <f>PRI_Sector_Fuels!P6</f>
        <v>MANGASMIN</v>
      </c>
      <c r="D21" s="50" t="s">
        <v>112</v>
      </c>
      <c r="E21" s="43">
        <v>2030</v>
      </c>
      <c r="F21" s="64">
        <v>0.75</v>
      </c>
      <c r="G21" s="64">
        <v>0.99</v>
      </c>
      <c r="H21" s="43">
        <v>25</v>
      </c>
      <c r="I21" s="64">
        <v>61.4</v>
      </c>
      <c r="J21" s="64">
        <v>2.57</v>
      </c>
      <c r="K21" s="64">
        <v>1.35</v>
      </c>
      <c r="L21" s="64">
        <v>8.76</v>
      </c>
      <c r="M21" s="43"/>
      <c r="N21" s="68"/>
      <c r="O21" s="43"/>
      <c r="P21" s="43"/>
      <c r="Q21" s="43"/>
      <c r="R21" s="43"/>
      <c r="S21" s="43"/>
      <c r="V21" s="60" t="s">
        <v>134</v>
      </c>
      <c r="W21" s="60"/>
      <c r="X21" s="61" t="s">
        <v>101</v>
      </c>
      <c r="Y21" s="62" t="s">
        <v>136</v>
      </c>
      <c r="Z21" s="45" t="s">
        <v>58</v>
      </c>
      <c r="AA21" s="45" t="s">
        <v>87</v>
      </c>
      <c r="AB21" s="63" t="s">
        <v>88</v>
      </c>
      <c r="AI21"/>
      <c r="AJ21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</row>
    <row r="22" spans="2:51" s="46" customFormat="1" x14ac:dyDescent="0.25">
      <c r="B22" s="50" t="str">
        <f>X23</f>
        <v>WNDTRBN</v>
      </c>
      <c r="C22" s="45" t="str">
        <f>PRI_Sector_Fuels!D19</f>
        <v>WIND</v>
      </c>
      <c r="D22" s="50" t="s">
        <v>138</v>
      </c>
      <c r="E22" s="43">
        <v>2030</v>
      </c>
      <c r="F22" s="83">
        <v>1</v>
      </c>
      <c r="G22" s="64">
        <v>0.97</v>
      </c>
      <c r="H22" s="43">
        <v>25</v>
      </c>
      <c r="I22" s="64">
        <v>1041</v>
      </c>
      <c r="J22" s="64">
        <v>38</v>
      </c>
      <c r="K22" s="64">
        <v>0</v>
      </c>
      <c r="L22" s="64">
        <v>8.76</v>
      </c>
      <c r="M22" s="68"/>
      <c r="N22" s="68"/>
      <c r="O22" s="64"/>
      <c r="P22" s="64"/>
      <c r="Q22" s="64"/>
      <c r="R22" s="68"/>
      <c r="S22" s="43">
        <v>0.2</v>
      </c>
      <c r="V22" s="60" t="s">
        <v>134</v>
      </c>
      <c r="W22" s="60"/>
      <c r="X22" s="61" t="s">
        <v>65</v>
      </c>
      <c r="Y22" s="62" t="s">
        <v>102</v>
      </c>
      <c r="Z22" s="45" t="s">
        <v>58</v>
      </c>
      <c r="AA22" s="45" t="s">
        <v>87</v>
      </c>
      <c r="AB22" s="46" t="s">
        <v>88</v>
      </c>
      <c r="AI22"/>
      <c r="AJ22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</row>
    <row r="23" spans="2:51" s="46" customFormat="1" x14ac:dyDescent="0.25">
      <c r="B23" s="50" t="str">
        <f>X24</f>
        <v>SOLPV</v>
      </c>
      <c r="C23" s="45" t="str">
        <f>PRI_Sector_Fuels!D20</f>
        <v>SOLAR</v>
      </c>
      <c r="D23" s="50" t="s">
        <v>139</v>
      </c>
      <c r="E23" s="43">
        <v>2030</v>
      </c>
      <c r="F23" s="83">
        <v>0.42</v>
      </c>
      <c r="G23" s="64">
        <v>0.99</v>
      </c>
      <c r="H23" s="43">
        <v>25</v>
      </c>
      <c r="I23" s="64">
        <v>691</v>
      </c>
      <c r="J23" s="64">
        <v>6.99</v>
      </c>
      <c r="K23" s="64">
        <v>0</v>
      </c>
      <c r="L23" s="64">
        <v>8.76</v>
      </c>
      <c r="M23" s="68"/>
      <c r="N23" s="68"/>
      <c r="O23" s="64"/>
      <c r="P23" s="64"/>
      <c r="Q23" s="64"/>
      <c r="R23" s="68"/>
      <c r="S23" s="43">
        <v>0.3</v>
      </c>
      <c r="V23" s="60" t="s">
        <v>69</v>
      </c>
      <c r="W23" s="60"/>
      <c r="X23" s="61" t="s">
        <v>89</v>
      </c>
      <c r="Y23" s="62" t="s">
        <v>92</v>
      </c>
      <c r="Z23" s="45" t="s">
        <v>58</v>
      </c>
      <c r="AA23" s="45" t="s">
        <v>87</v>
      </c>
      <c r="AB23" s="46" t="s">
        <v>88</v>
      </c>
      <c r="AI23"/>
      <c r="AJ23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</row>
    <row r="24" spans="2:51" s="46" customFormat="1" x14ac:dyDescent="0.25">
      <c r="B24" s="50" t="str">
        <f>X22</f>
        <v>CSP</v>
      </c>
      <c r="C24" s="45" t="str">
        <f>PRI_Sector_Fuels!D20</f>
        <v>SOLAR</v>
      </c>
      <c r="D24" s="50" t="s">
        <v>112</v>
      </c>
      <c r="E24" s="43">
        <v>2030</v>
      </c>
      <c r="F24" s="83">
        <v>0.41</v>
      </c>
      <c r="G24" s="64">
        <v>1</v>
      </c>
      <c r="H24" s="43">
        <v>25</v>
      </c>
      <c r="I24" s="64">
        <v>3677</v>
      </c>
      <c r="J24" s="64">
        <v>0</v>
      </c>
      <c r="K24" s="64">
        <v>14</v>
      </c>
      <c r="L24" s="64">
        <v>8.76</v>
      </c>
      <c r="M24" s="68"/>
      <c r="N24" s="68"/>
      <c r="O24" s="64"/>
      <c r="P24" s="64"/>
      <c r="Q24" s="64"/>
      <c r="R24" s="68"/>
      <c r="S24" s="43"/>
      <c r="V24" s="60" t="s">
        <v>69</v>
      </c>
      <c r="W24" s="60"/>
      <c r="X24" s="61" t="s">
        <v>90</v>
      </c>
      <c r="Y24" s="62" t="s">
        <v>91</v>
      </c>
      <c r="Z24" s="45" t="s">
        <v>58</v>
      </c>
      <c r="AA24" s="45" t="s">
        <v>87</v>
      </c>
      <c r="AB24" s="46" t="s">
        <v>88</v>
      </c>
      <c r="AI24"/>
      <c r="AJ24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</row>
    <row r="25" spans="2:51" s="46" customFormat="1" x14ac:dyDescent="0.25">
      <c r="B25" s="50" t="str">
        <f>X20</f>
        <v>GASBoiler</v>
      </c>
      <c r="C25" s="45"/>
      <c r="D25" s="50" t="s">
        <v>111</v>
      </c>
      <c r="E25" s="43">
        <v>2030</v>
      </c>
      <c r="F25" s="83">
        <v>1</v>
      </c>
      <c r="G25" s="64">
        <v>1</v>
      </c>
      <c r="H25" s="43">
        <v>25</v>
      </c>
      <c r="I25" s="64">
        <v>0</v>
      </c>
      <c r="J25" s="64">
        <v>0</v>
      </c>
      <c r="K25" s="64">
        <v>0</v>
      </c>
      <c r="L25" s="64">
        <v>8.76</v>
      </c>
      <c r="M25" s="68"/>
      <c r="N25" s="68"/>
      <c r="O25" s="64"/>
      <c r="P25" s="64"/>
      <c r="Q25" s="64"/>
      <c r="R25" s="68"/>
      <c r="S25" s="43"/>
      <c r="V25" s="60" t="s">
        <v>69</v>
      </c>
      <c r="W25" s="60"/>
      <c r="X25" s="61" t="s">
        <v>135</v>
      </c>
      <c r="Y25" s="62" t="s">
        <v>142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46" customFormat="1" x14ac:dyDescent="0.25">
      <c r="B26" s="85" t="str">
        <f>X25</f>
        <v>DECELC</v>
      </c>
      <c r="C26" s="50" t="s">
        <v>138</v>
      </c>
      <c r="D26" s="50" t="s">
        <v>69</v>
      </c>
      <c r="E26" s="43">
        <v>2030</v>
      </c>
      <c r="F26" s="46">
        <v>1</v>
      </c>
      <c r="G26" s="46">
        <v>1</v>
      </c>
      <c r="H26" s="43">
        <v>100</v>
      </c>
      <c r="I26" s="64">
        <v>0</v>
      </c>
      <c r="J26" s="45">
        <v>0</v>
      </c>
      <c r="K26" s="46">
        <v>0</v>
      </c>
      <c r="L26" s="64">
        <v>8.76</v>
      </c>
      <c r="M26" s="68"/>
      <c r="N26" s="68"/>
      <c r="O26" s="64"/>
      <c r="P26" s="64"/>
      <c r="Q26" s="64"/>
      <c r="R26" s="68"/>
      <c r="S26" s="43"/>
      <c r="V26" s="60" t="s">
        <v>69</v>
      </c>
      <c r="W26" s="60"/>
      <c r="X26" s="61" t="s">
        <v>146</v>
      </c>
      <c r="Y26" s="62" t="s">
        <v>145</v>
      </c>
      <c r="Z26" s="45" t="s">
        <v>58</v>
      </c>
      <c r="AA26" s="45" t="s">
        <v>87</v>
      </c>
      <c r="AB26" s="46" t="s">
        <v>88</v>
      </c>
      <c r="AI26"/>
      <c r="AJ26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</row>
    <row r="27" spans="2:51" s="46" customFormat="1" x14ac:dyDescent="0.25">
      <c r="B27" s="85" t="str">
        <f>X25</f>
        <v>DECELC</v>
      </c>
      <c r="C27" s="50" t="s">
        <v>139</v>
      </c>
      <c r="D27" s="50" t="s">
        <v>69</v>
      </c>
      <c r="E27" s="43">
        <v>2030</v>
      </c>
      <c r="F27" s="46">
        <v>1</v>
      </c>
      <c r="G27" s="46">
        <v>1</v>
      </c>
      <c r="H27" s="43">
        <v>100</v>
      </c>
      <c r="I27" s="64">
        <v>0</v>
      </c>
      <c r="J27" s="45">
        <v>0</v>
      </c>
      <c r="K27" s="46">
        <v>0</v>
      </c>
      <c r="L27" s="64">
        <v>8.76</v>
      </c>
      <c r="M27" s="68"/>
      <c r="N27" s="68"/>
      <c r="O27" s="64"/>
      <c r="P27" s="64"/>
      <c r="Q27" s="64"/>
      <c r="R27" s="68"/>
      <c r="S27" s="43"/>
      <c r="V27" s="45"/>
      <c r="W27" s="45"/>
      <c r="X27" s="45"/>
      <c r="Y27" s="45"/>
      <c r="Z27" s="45"/>
      <c r="AA27" s="45"/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46" customFormat="1" x14ac:dyDescent="0.25">
      <c r="B28" s="50" t="str">
        <f>X26</f>
        <v>BIOPOWER</v>
      </c>
      <c r="C28" s="50" t="s">
        <v>68</v>
      </c>
      <c r="D28" s="50" t="s">
        <v>144</v>
      </c>
      <c r="E28" s="43">
        <v>2030</v>
      </c>
      <c r="F28" s="46">
        <v>0.35</v>
      </c>
      <c r="G28" s="46">
        <v>0.98</v>
      </c>
      <c r="H28" s="43">
        <v>20</v>
      </c>
      <c r="I28" s="86">
        <v>3242</v>
      </c>
      <c r="J28" s="64">
        <v>129.68</v>
      </c>
      <c r="K28" s="64">
        <v>0</v>
      </c>
      <c r="L28" s="64">
        <v>8.76</v>
      </c>
      <c r="M28" s="68"/>
      <c r="N28" s="68"/>
      <c r="O28" s="64"/>
      <c r="P28" s="64"/>
      <c r="Q28" s="64"/>
      <c r="R28" s="68"/>
      <c r="S28" s="43"/>
      <c r="V28" s="45"/>
      <c r="W28" s="45"/>
      <c r="X28" s="45"/>
      <c r="Y28" s="45"/>
      <c r="Z28" s="45"/>
      <c r="AA28" s="45"/>
      <c r="AI28"/>
      <c r="AJ28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</row>
    <row r="29" spans="2:51" s="46" customFormat="1" x14ac:dyDescent="0.25">
      <c r="B29" s="50" t="s">
        <v>135</v>
      </c>
      <c r="C29" s="45" t="s">
        <v>144</v>
      </c>
      <c r="D29" s="50" t="s">
        <v>69</v>
      </c>
      <c r="E29" s="43">
        <v>2030</v>
      </c>
      <c r="F29" s="83">
        <v>1</v>
      </c>
      <c r="G29" s="64">
        <v>1</v>
      </c>
      <c r="H29" s="46">
        <v>100</v>
      </c>
      <c r="I29" s="46">
        <v>0</v>
      </c>
      <c r="J29" s="46">
        <v>0</v>
      </c>
      <c r="K29" s="46">
        <v>0</v>
      </c>
      <c r="L29" s="46">
        <v>0</v>
      </c>
      <c r="M29" s="68"/>
      <c r="N29" s="68"/>
      <c r="O29" s="64"/>
      <c r="P29" s="64"/>
      <c r="Q29" s="64"/>
      <c r="R29" s="68"/>
      <c r="S29" s="43"/>
      <c r="AI29"/>
      <c r="AJ29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</row>
    <row r="30" spans="2:51" s="46" customFormat="1" x14ac:dyDescent="0.25">
      <c r="B30" s="45"/>
      <c r="C30" s="50"/>
      <c r="D30" s="84"/>
      <c r="E30" s="43"/>
      <c r="F30" s="64"/>
      <c r="G30" s="64"/>
      <c r="H30" s="43"/>
      <c r="I30" s="64"/>
      <c r="J30" s="64"/>
      <c r="K30" s="64"/>
      <c r="L30" s="64"/>
      <c r="M30" s="68"/>
      <c r="N30" s="68"/>
      <c r="O30" s="64"/>
      <c r="P30" s="64"/>
      <c r="Q30" s="64"/>
      <c r="R30" s="68"/>
      <c r="S30" s="43"/>
      <c r="V30" s="45"/>
      <c r="W30" s="45"/>
      <c r="X30" s="45"/>
      <c r="Y30" s="45"/>
      <c r="Z30" s="45"/>
      <c r="AA30" s="45"/>
      <c r="AB30" s="45"/>
      <c r="AC30" s="45"/>
      <c r="AD30" s="45"/>
      <c r="AI30"/>
      <c r="AJ30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</row>
    <row r="31" spans="2:51" s="46" customFormat="1" x14ac:dyDescent="0.25">
      <c r="B31" s="45"/>
      <c r="C31" s="50"/>
      <c r="D31" s="84"/>
      <c r="E31" s="43"/>
      <c r="F31" s="64"/>
      <c r="G31" s="64"/>
      <c r="H31" s="43"/>
      <c r="I31" s="64"/>
      <c r="J31" s="64"/>
      <c r="K31" s="64"/>
      <c r="L31" s="64"/>
      <c r="M31" s="68"/>
      <c r="N31" s="68"/>
      <c r="O31" s="64"/>
      <c r="P31" s="64"/>
      <c r="Q31" s="64"/>
      <c r="R31" s="68"/>
      <c r="S31" s="43"/>
      <c r="V31" s="45"/>
      <c r="W31" s="45"/>
      <c r="X31" s="45"/>
      <c r="Y31" s="45"/>
      <c r="Z31" s="45"/>
      <c r="AA31" s="45"/>
      <c r="AB31" s="45"/>
      <c r="AC31" s="45"/>
      <c r="AD31" s="45"/>
      <c r="AI31"/>
      <c r="AJ31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</row>
    <row r="32" spans="2:51" s="46" customFormat="1" x14ac:dyDescent="0.25">
      <c r="B32" s="45"/>
      <c r="C32" s="50"/>
      <c r="D32" s="84"/>
      <c r="E32" s="43"/>
      <c r="F32" s="64"/>
      <c r="G32" s="64"/>
      <c r="H32" s="43"/>
      <c r="I32" s="64"/>
      <c r="J32" s="64"/>
      <c r="K32" s="64"/>
      <c r="L32" s="64"/>
      <c r="M32" s="68"/>
      <c r="N32" s="68"/>
      <c r="O32" s="64"/>
      <c r="P32" s="64"/>
      <c r="Q32" s="64"/>
      <c r="R32" s="68"/>
      <c r="S32" s="43"/>
      <c r="V32" s="45"/>
      <c r="W32" s="45"/>
      <c r="X32" s="45"/>
      <c r="Y32" s="45"/>
      <c r="Z32" s="45"/>
      <c r="AA32" s="45"/>
      <c r="AB32" s="45"/>
      <c r="AC32" s="45"/>
      <c r="AD32" s="45"/>
      <c r="AI32"/>
      <c r="AJ32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</row>
    <row r="33" spans="1:48" s="46" customFormat="1" x14ac:dyDescent="0.25">
      <c r="B33" s="50"/>
      <c r="C33" s="50"/>
      <c r="D33" s="50"/>
      <c r="E33" s="43"/>
      <c r="F33" s="64"/>
      <c r="G33" s="64"/>
      <c r="H33" s="43"/>
      <c r="I33" s="64"/>
      <c r="J33" s="64"/>
      <c r="K33" s="64"/>
      <c r="L33" s="64"/>
      <c r="M33" s="68"/>
      <c r="N33" s="68"/>
      <c r="O33" s="64"/>
      <c r="P33" s="64"/>
      <c r="Q33" s="64"/>
      <c r="R33" s="68"/>
      <c r="S33" s="43"/>
      <c r="V33" s="45"/>
      <c r="W33" s="45"/>
      <c r="X33" s="45"/>
      <c r="Y33" s="45"/>
      <c r="Z33" s="45"/>
      <c r="AA33" s="45"/>
      <c r="AB33" s="45"/>
      <c r="AC33" s="45"/>
      <c r="AD33" s="45"/>
      <c r="AI33"/>
      <c r="AJ33"/>
      <c r="AK33" s="39"/>
      <c r="AL33" s="39"/>
      <c r="AM33" s="45"/>
      <c r="AN33" s="45"/>
      <c r="AO33" s="45"/>
      <c r="AQ33"/>
      <c r="AR33"/>
      <c r="AS33" s="39"/>
      <c r="AT33" s="39"/>
      <c r="AU33" s="45"/>
      <c r="AV33" s="45"/>
    </row>
    <row r="34" spans="1:48" s="46" customFormat="1" x14ac:dyDescent="0.25">
      <c r="B34" s="50"/>
      <c r="C34" s="50"/>
      <c r="D34" s="50"/>
      <c r="E34" s="43"/>
      <c r="H34" s="43"/>
      <c r="I34" s="64"/>
      <c r="J34" s="45"/>
      <c r="L34" s="64"/>
      <c r="M34" s="68"/>
      <c r="N34" s="68"/>
      <c r="O34" s="64"/>
      <c r="P34" s="64"/>
      <c r="Q34" s="64"/>
      <c r="R34" s="68"/>
      <c r="S34" s="43"/>
      <c r="V34" s="45"/>
      <c r="W34" s="45"/>
      <c r="X34" s="45"/>
      <c r="Y34" s="45"/>
      <c r="Z34" s="45"/>
      <c r="AA34" s="45"/>
      <c r="AB34" s="45"/>
      <c r="AC34" s="45"/>
      <c r="AD34" s="45"/>
      <c r="AI34"/>
      <c r="AJ34"/>
      <c r="AK34" s="39"/>
      <c r="AL34" s="39"/>
      <c r="AM34" s="45"/>
      <c r="AN34" s="45"/>
      <c r="AO34" s="45"/>
      <c r="AQ34"/>
      <c r="AR34"/>
      <c r="AS34" s="39"/>
      <c r="AT34" s="39"/>
      <c r="AU34" s="45"/>
      <c r="AV34" s="45"/>
    </row>
    <row r="35" spans="1:48" s="46" customFormat="1" x14ac:dyDescent="0.25">
      <c r="B35" s="50"/>
      <c r="C35" s="50"/>
      <c r="D35" s="50"/>
      <c r="E35" s="43"/>
      <c r="H35" s="43"/>
      <c r="I35" s="64"/>
      <c r="J35" s="45"/>
      <c r="L35" s="64"/>
      <c r="M35" s="43"/>
      <c r="N35" s="68"/>
      <c r="O35" s="43"/>
      <c r="P35" s="43"/>
      <c r="Q35" s="43"/>
      <c r="R35" s="43"/>
      <c r="S35" s="43"/>
      <c r="V35" s="38"/>
      <c r="W35" s="38"/>
      <c r="X35" s="39"/>
      <c r="Y35" s="40"/>
      <c r="Z35" s="38"/>
      <c r="AA35" s="38"/>
      <c r="AB35" s="38"/>
      <c r="AC35" s="45"/>
      <c r="AD35" s="45"/>
      <c r="AI35"/>
      <c r="AJ35"/>
      <c r="AK35" s="39"/>
      <c r="AL35" s="39"/>
      <c r="AM35" s="45"/>
      <c r="AN35" s="45"/>
      <c r="AO35" s="45"/>
      <c r="AQ35"/>
      <c r="AR35"/>
      <c r="AS35" s="39"/>
      <c r="AT35" s="39"/>
      <c r="AU35" s="45"/>
      <c r="AV35" s="45"/>
    </row>
    <row r="36" spans="1:48" s="46" customFormat="1" x14ac:dyDescent="0.25">
      <c r="B36" s="45"/>
      <c r="C36" s="50"/>
      <c r="D36" s="50"/>
      <c r="E36" s="64"/>
      <c r="F36" s="65"/>
      <c r="K36" s="45"/>
      <c r="N36" s="65"/>
      <c r="V36" s="38"/>
      <c r="W36" s="38"/>
      <c r="X36" s="39"/>
      <c r="Y36" s="40"/>
      <c r="Z36" s="38"/>
      <c r="AA36" s="38"/>
      <c r="AB36" s="38"/>
      <c r="AC36" s="45"/>
      <c r="AD36" s="45"/>
      <c r="AI36"/>
      <c r="AJ36"/>
      <c r="AK36" s="39"/>
      <c r="AL36" s="39"/>
      <c r="AM36" s="45"/>
      <c r="AN36" s="45"/>
      <c r="AO36" s="45"/>
      <c r="AQ36"/>
      <c r="AR36"/>
      <c r="AS36" s="39"/>
      <c r="AT36" s="39"/>
      <c r="AU36" s="45"/>
      <c r="AV36" s="45"/>
    </row>
    <row r="37" spans="1:48" s="46" customFormat="1" x14ac:dyDescent="0.25">
      <c r="B37" s="50"/>
      <c r="C37" s="50"/>
      <c r="D37" s="50"/>
      <c r="E37" s="64"/>
      <c r="F37" s="65"/>
      <c r="J37" s="66"/>
      <c r="K37" s="45"/>
      <c r="N37" s="65"/>
      <c r="V37" s="45"/>
      <c r="W37" s="45"/>
      <c r="X37" s="45"/>
      <c r="Y37" s="45"/>
      <c r="Z37" s="50"/>
      <c r="AA37" s="50"/>
      <c r="AB37" s="63"/>
      <c r="AC37" s="45"/>
      <c r="AD37" s="45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8" s="46" customFormat="1" x14ac:dyDescent="0.25">
      <c r="B38" s="50"/>
      <c r="C38" s="45"/>
      <c r="D38" s="50"/>
      <c r="E38" s="64"/>
      <c r="F38" s="67"/>
      <c r="G38" s="45"/>
      <c r="H38" s="45"/>
      <c r="I38" s="45"/>
      <c r="J38" s="68"/>
      <c r="K38" s="45"/>
      <c r="V38" s="45"/>
      <c r="X38" s="45"/>
      <c r="Z38" s="54"/>
      <c r="AA38" s="54"/>
      <c r="AB38" s="45"/>
      <c r="AC38" s="45"/>
      <c r="AD38" s="45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8" s="46" customFormat="1" x14ac:dyDescent="0.25">
      <c r="B39" s="45"/>
      <c r="C39" s="45"/>
      <c r="D39" s="45"/>
      <c r="E39" s="64"/>
      <c r="F39" s="67"/>
      <c r="G39" s="45"/>
      <c r="H39" s="45"/>
      <c r="I39" s="45"/>
      <c r="J39" s="68"/>
      <c r="K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I39"/>
      <c r="AJ39"/>
      <c r="AK39" s="39"/>
      <c r="AL39" s="39"/>
      <c r="AM39" s="45"/>
      <c r="AN39" s="45"/>
      <c r="AO39" s="45"/>
      <c r="AQ39"/>
      <c r="AR39"/>
      <c r="AS39" s="39"/>
      <c r="AT39" s="39"/>
      <c r="AU39" s="45"/>
      <c r="AV39" s="45"/>
    </row>
    <row r="40" spans="1:48" x14ac:dyDescent="0.25">
      <c r="A40" s="46"/>
      <c r="F40" s="67"/>
      <c r="G40" s="43"/>
      <c r="H40" s="69"/>
      <c r="M40" s="46"/>
      <c r="N40" s="46"/>
      <c r="O40" s="46"/>
      <c r="P40" s="46"/>
      <c r="Q40" s="46"/>
      <c r="R40" s="46"/>
      <c r="S40" s="46"/>
      <c r="AI40"/>
      <c r="AJ40"/>
      <c r="AK40" s="39"/>
      <c r="AL40" s="39"/>
      <c r="AP40" s="46"/>
      <c r="AQ40"/>
      <c r="AR40"/>
      <c r="AS40" s="39"/>
      <c r="AT40" s="39"/>
    </row>
    <row r="41" spans="1:48" x14ac:dyDescent="0.25">
      <c r="A41" s="46"/>
      <c r="H41" s="69"/>
      <c r="M41" s="46"/>
      <c r="N41" s="46"/>
      <c r="O41" s="46"/>
      <c r="P41" s="46"/>
      <c r="Q41" s="46"/>
      <c r="R41" s="46"/>
      <c r="S41" s="46"/>
      <c r="AI41"/>
      <c r="AJ41"/>
      <c r="AK41" s="39"/>
      <c r="AL41" s="39"/>
      <c r="AP41" s="46"/>
      <c r="AQ41"/>
      <c r="AR41"/>
      <c r="AS41" s="39"/>
      <c r="AT41" s="39"/>
    </row>
    <row r="42" spans="1:48" x14ac:dyDescent="0.25">
      <c r="B42" s="70"/>
      <c r="C42" s="45" t="s">
        <v>82</v>
      </c>
      <c r="H42" s="69"/>
      <c r="AI42"/>
      <c r="AJ42"/>
      <c r="AK42" s="39"/>
      <c r="AL42" s="39"/>
      <c r="AQ42"/>
      <c r="AR42"/>
      <c r="AS42" s="39"/>
      <c r="AT42" s="39"/>
    </row>
    <row r="43" spans="1:48" x14ac:dyDescent="0.25">
      <c r="B43" s="71"/>
      <c r="C43" s="45" t="s">
        <v>83</v>
      </c>
      <c r="H43" s="69"/>
      <c r="AI43"/>
      <c r="AJ43"/>
      <c r="AK43" s="39"/>
      <c r="AL43" s="39"/>
      <c r="AQ43"/>
      <c r="AR43"/>
      <c r="AS43" s="39"/>
      <c r="AT43" s="39"/>
    </row>
    <row r="44" spans="1:48" x14ac:dyDescent="0.25">
      <c r="H44" s="69"/>
      <c r="AI44"/>
      <c r="AJ44"/>
      <c r="AK44" s="39"/>
      <c r="AL44" s="39"/>
      <c r="AQ44"/>
      <c r="AR44"/>
      <c r="AS44" s="39"/>
      <c r="AT44" s="39"/>
    </row>
    <row r="45" spans="1:48" x14ac:dyDescent="0.25">
      <c r="AI45"/>
      <c r="AJ45"/>
      <c r="AK45" s="39"/>
      <c r="AL45" s="39"/>
      <c r="AQ45"/>
      <c r="AR45"/>
      <c r="AS45" s="39"/>
      <c r="AT45" s="39"/>
    </row>
    <row r="46" spans="1:48" x14ac:dyDescent="0.25">
      <c r="AI46"/>
      <c r="AJ46"/>
      <c r="AK46" s="39"/>
      <c r="AL46" s="39"/>
      <c r="AQ46"/>
      <c r="AR46"/>
      <c r="AS46" s="39"/>
      <c r="AT46" s="39"/>
    </row>
    <row r="47" spans="1:48" x14ac:dyDescent="0.25">
      <c r="E47" s="43"/>
      <c r="AI47"/>
      <c r="AJ47"/>
      <c r="AK47" s="39"/>
      <c r="AL47" s="39"/>
      <c r="AQ47"/>
      <c r="AR47"/>
      <c r="AS47" s="39"/>
      <c r="AT47" s="39"/>
    </row>
    <row r="48" spans="1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B54" s="73"/>
      <c r="C54" s="73"/>
      <c r="D54"/>
      <c r="E54"/>
      <c r="F54"/>
      <c r="G54"/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ht="13.8" thickBot="1" x14ac:dyDescent="0.3"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AI55"/>
      <c r="AJ55"/>
      <c r="AK55" s="39"/>
      <c r="AL55" s="39"/>
      <c r="AQ55"/>
      <c r="AR55"/>
      <c r="AS55" s="39"/>
      <c r="AT55" s="39"/>
    </row>
    <row r="56" spans="2:46" x14ac:dyDescent="0.25">
      <c r="B56"/>
      <c r="C56"/>
      <c r="D56"/>
      <c r="E56" s="1"/>
      <c r="F56"/>
      <c r="G56"/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/>
      <c r="C57"/>
      <c r="D57"/>
      <c r="E57" s="1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C68" s="46"/>
      <c r="AD68" s="46"/>
      <c r="AI68"/>
      <c r="AJ68"/>
      <c r="AK68" s="39"/>
      <c r="AL68" s="39"/>
      <c r="AQ68"/>
      <c r="AR68"/>
      <c r="AS68" s="39"/>
      <c r="AT68" s="39"/>
    </row>
    <row r="69" spans="1:48" x14ac:dyDescent="0.25">
      <c r="B69"/>
      <c r="C69"/>
      <c r="E69" s="73"/>
      <c r="F69" s="73"/>
      <c r="G69" s="1"/>
      <c r="H69"/>
      <c r="I69" s="73"/>
      <c r="J69"/>
      <c r="K69"/>
      <c r="L69" s="73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I69"/>
      <c r="AJ69"/>
      <c r="AK69" s="39"/>
      <c r="AL69" s="39"/>
      <c r="AQ69"/>
      <c r="AR69"/>
      <c r="AS69" s="39"/>
      <c r="AT69" s="39"/>
    </row>
    <row r="70" spans="1:48" s="46" customFormat="1" x14ac:dyDescent="0.25">
      <c r="A70" s="45"/>
      <c r="B70" s="79"/>
      <c r="C70" s="79"/>
      <c r="D70" s="79"/>
      <c r="E70" s="79"/>
      <c r="F70" s="79"/>
      <c r="G70" s="79"/>
      <c r="H70" s="80"/>
      <c r="I70" s="79"/>
      <c r="J70" s="79"/>
      <c r="K70" s="79"/>
      <c r="L70" s="79"/>
      <c r="M70" s="45"/>
      <c r="N70" s="45"/>
      <c r="O70" s="45"/>
      <c r="P70" s="45"/>
      <c r="Q70" s="45"/>
      <c r="R70" s="45"/>
      <c r="S70" s="45"/>
      <c r="AI70"/>
      <c r="AJ70" s="80"/>
      <c r="AK70" s="39"/>
      <c r="AL70" s="41"/>
      <c r="AM70" s="45"/>
      <c r="AN70" s="45"/>
      <c r="AQ70"/>
      <c r="AR70" s="80"/>
      <c r="AS70" s="39"/>
      <c r="AT70" s="41"/>
      <c r="AU70" s="45"/>
      <c r="AV70" s="45"/>
    </row>
    <row r="71" spans="1:48" s="46" customFormat="1" x14ac:dyDescent="0.25">
      <c r="A71" s="73"/>
      <c r="B71" s="81"/>
      <c r="C71" s="82"/>
      <c r="D71" s="81"/>
      <c r="E71" s="81"/>
      <c r="F71" s="81"/>
      <c r="G71" s="81"/>
      <c r="H71" s="80"/>
      <c r="I71" s="81"/>
      <c r="J71" s="81"/>
      <c r="K71" s="82"/>
      <c r="L71" s="82"/>
      <c r="M71" s="73"/>
      <c r="N71" s="73"/>
      <c r="O71" s="1"/>
      <c r="P71" s="45"/>
      <c r="Q71" s="45"/>
      <c r="R71" s="45"/>
      <c r="S71" s="45"/>
      <c r="V71" s="45"/>
      <c r="W71" s="45"/>
      <c r="X71" s="45"/>
      <c r="Y71" s="45"/>
      <c r="Z71" s="45"/>
      <c r="AA71" s="45"/>
      <c r="AB71" s="45"/>
      <c r="AC71" s="45"/>
      <c r="AD71" s="45"/>
      <c r="AI71" s="42"/>
      <c r="AJ71" s="42"/>
      <c r="AK71" s="54"/>
    </row>
    <row r="72" spans="1:48" s="46" customFormat="1" x14ac:dyDescent="0.25">
      <c r="A72" s="79"/>
      <c r="B72" s="81"/>
      <c r="C72" s="81"/>
      <c r="D72" s="81"/>
      <c r="E72" s="81"/>
      <c r="F72" s="81"/>
      <c r="G72" s="81"/>
      <c r="H72" s="80"/>
      <c r="I72" s="81"/>
      <c r="J72" s="81"/>
      <c r="K72" s="81"/>
      <c r="L72" s="81"/>
      <c r="M72" s="79"/>
      <c r="N72" s="79"/>
      <c r="O72" s="79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I72" s="42"/>
      <c r="AJ72" s="42"/>
      <c r="AK72" s="54"/>
    </row>
    <row r="73" spans="1:48" x14ac:dyDescent="0.25">
      <c r="A73" s="81"/>
      <c r="B73"/>
      <c r="C73" s="39"/>
      <c r="D73" s="39"/>
      <c r="H73"/>
      <c r="I73"/>
      <c r="J73"/>
      <c r="K73" s="39"/>
      <c r="L73" s="39"/>
      <c r="M73" s="82"/>
      <c r="N73" s="82"/>
      <c r="O73" s="81"/>
      <c r="P73" s="46"/>
      <c r="Q73" s="46"/>
      <c r="R73" s="46"/>
      <c r="S73" s="46"/>
      <c r="AI73" s="38"/>
      <c r="AJ73" s="38"/>
      <c r="AK73" s="50"/>
    </row>
    <row r="74" spans="1:48" x14ac:dyDescent="0.25">
      <c r="A74" s="81"/>
      <c r="B74"/>
      <c r="C74" s="39"/>
      <c r="D74" s="39"/>
      <c r="H74" s="78"/>
      <c r="I74"/>
      <c r="J74"/>
      <c r="K74" s="39"/>
      <c r="L74" s="39"/>
      <c r="M74" s="81"/>
      <c r="N74" s="81"/>
      <c r="O74" s="81"/>
      <c r="P74" s="46"/>
      <c r="Q74" s="46"/>
      <c r="R74" s="46"/>
      <c r="S74" s="46"/>
      <c r="AI74" s="38"/>
      <c r="AJ74" s="38"/>
      <c r="AK74" s="50"/>
    </row>
    <row r="75" spans="1:48" x14ac:dyDescent="0.25">
      <c r="A75"/>
      <c r="B75"/>
      <c r="C75" s="39"/>
      <c r="D75" s="39"/>
      <c r="I75"/>
      <c r="J75"/>
      <c r="K75" s="39"/>
      <c r="L75" s="39"/>
      <c r="AI75" s="38"/>
      <c r="AJ75" s="38"/>
      <c r="AK75" s="50"/>
    </row>
    <row r="76" spans="1:48" x14ac:dyDescent="0.25">
      <c r="A76"/>
      <c r="B76"/>
      <c r="C76" s="39"/>
      <c r="D76" s="39"/>
      <c r="I76"/>
      <c r="J76"/>
      <c r="K76" s="39"/>
      <c r="L76" s="39"/>
      <c r="AI76" s="38"/>
      <c r="AJ76" s="38"/>
      <c r="AK76" s="50"/>
    </row>
    <row r="77" spans="1:48" x14ac:dyDescent="0.25">
      <c r="A77"/>
      <c r="B77"/>
      <c r="C77" s="39"/>
      <c r="D77" s="39"/>
      <c r="H77" s="46"/>
      <c r="I77"/>
      <c r="J77"/>
      <c r="K77" s="39"/>
      <c r="L77" s="39"/>
      <c r="O77" s="46"/>
      <c r="AI77" s="38"/>
      <c r="AJ77" s="38"/>
      <c r="AK77" s="50"/>
    </row>
    <row r="78" spans="1:48" x14ac:dyDescent="0.25">
      <c r="A78"/>
      <c r="B78"/>
      <c r="C78" s="39"/>
      <c r="D78" s="39"/>
      <c r="H78" s="46"/>
      <c r="I78"/>
      <c r="J78"/>
      <c r="K78" s="39"/>
      <c r="L78" s="39"/>
      <c r="O78" s="46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0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AI121" s="38"/>
      <c r="AJ121" s="38"/>
      <c r="AK121" s="50"/>
    </row>
    <row r="122" spans="1:37" x14ac:dyDescent="0.25">
      <c r="A122"/>
      <c r="AI122" s="38"/>
      <c r="AJ122" s="38"/>
      <c r="AK122" s="50"/>
    </row>
    <row r="123" spans="1:37" x14ac:dyDescent="0.25">
      <c r="AI123" s="38"/>
      <c r="AJ123" s="38"/>
      <c r="AK123" s="50"/>
    </row>
    <row r="124" spans="1:37" x14ac:dyDescent="0.25"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</sheetData>
  <phoneticPr fontId="24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2026-03-09T09:32:27Z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