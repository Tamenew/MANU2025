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6D5A8EF8-B65D-4300-9173-B16E2B826EAF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7" l="1"/>
  <c r="B26" i="7"/>
  <c r="B27" i="7"/>
  <c r="B25" i="7"/>
  <c r="D19" i="6"/>
  <c r="C22" i="7" s="1"/>
  <c r="D20" i="6"/>
  <c r="C24" i="7" s="1"/>
  <c r="B19" i="6"/>
  <c r="B20" i="6"/>
  <c r="C21" i="7"/>
  <c r="B18" i="6"/>
  <c r="B24" i="7"/>
  <c r="B23" i="7"/>
  <c r="B22" i="7"/>
  <c r="B21" i="7"/>
  <c r="D18" i="6"/>
  <c r="D17" i="6"/>
  <c r="B19" i="7"/>
  <c r="B20" i="7"/>
  <c r="B18" i="7"/>
  <c r="C20" i="7"/>
  <c r="C18" i="7"/>
  <c r="B17" i="7"/>
  <c r="Q18" i="6"/>
  <c r="D2" i="7"/>
  <c r="Q17" i="6"/>
  <c r="B17" i="6"/>
  <c r="C23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14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14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4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4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5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4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4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4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5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<sst xmlns="http://schemas.openxmlformats.org/spreadsheetml/2006/main" count="316" uniqueCount="148">
  <si>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</si>
  <si>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</si>
  <si>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</si>
  <si>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</si>
  <si>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</si>
  <si>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</si>
  <si>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</si>
  <si>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</si>
  <si>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</si>
  <si>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</si>
  <si>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</si>
  <si>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</si>
  <si>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</si>
  <si>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</si>
  <si>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</si>
  <si>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</si>
  <si>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</si>
  <si>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</si>
  <si>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</si>
  <si>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</si>
  <si>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</si>
  <si>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</si>
  <si>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</si>
  <si>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</si>
  <si>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</si>
  <si>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</si>
  <si>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</si>
  <si>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</si>
  <si>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</si>
  <si>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</si>
  <si>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</si>
  <si>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</si>
  <si>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</si>
  <si>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</si>
  <si>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</si>
  <si>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</si>
  <si>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</si>
  <si>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</si>
  <si>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</si>
  <si>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</si>
  <si>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</si>
  <si>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</si>
  <si>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</si>
  <si>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</si>
  <si>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</si>
  <si>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</si>
  <si>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</si>
  <si>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</si>
  <si>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</si>
  <si>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</si>
  <si>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</si>
  <si>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</si>
  <si>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</si>
  <si>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</si>
  <si>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</si>
  <si>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</si>
  <si>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</si>
  <si>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</si>
  <si>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</si>
  <si>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</si>
  <si>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</si>
  <si>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</si>
  <si>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</si>
  <si>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</si>
  <si>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</si>
  <si>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</si>
  <si>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</si>
  <si>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</si>
  <si>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</si>
  <si>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</si>
  <si>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</si>
  <si>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</si>
  <si>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</si>
  <si>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</si>
  <si>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</si>
  <si>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</si>
  <si>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</si>
  <si>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</si>
  <si>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</si>
  <si>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</si>
  <si>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</si>
  <si>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</si>
  <si>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</si>
  <si>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</si>
  <si>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</si>
  <si>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</si>
  <si>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</si>
  <si>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</si>
  <si>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</si>
  <si>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</si>
  <si>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</si>
  <si>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</si>
  <si>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</si>
  <si>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</si>
  <si>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</si>
  <si>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</si>
  <si>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</si>
  <si>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</si>
  <si>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</si>
  <si>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</si>
  <si>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</si>
  <si>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</si>
  <si>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Manufacturing heat from Solar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</si>
  <si>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</si>
  <si>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</si>
  <si>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</si>
  <si>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</si>
  <si>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</si>
  <si>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</si>
  <si>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</si>
  <si>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</si>
  <si>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</si>
  <si>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</si>
  <si>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</si>
  <si>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TH2024USD/GWh</t>
  </si>
  <si>
    <t>TH$2024</t>
  </si>
  <si>
    <t>TH2024USD/MW</t>
  </si>
  <si>
    <t>Share-I~UP~2030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</si>
  <si>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</si>
  <si>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</si>
  <si>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</si>
  <si>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</si>
  <si>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</si>
  <si>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</si>
  <si>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</si>
  <si>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</si>
  <si>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</si>
  <si>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</si>
  <si>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</si>
  <si>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</si>
  <si>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</si>
  <si>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</si>
  <si>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</si>
  <si>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Manufacturing heat supplier using electricity</t>
  </si>
  <si>
    <t>DMD</t>
  </si>
  <si>
    <t>DECELC</t>
  </si>
  <si>
    <t>Electric boiler</t>
  </si>
  <si>
    <t>Biomass kiln</t>
  </si>
  <si>
    <t>WNDELC</t>
  </si>
  <si>
    <t>SOLELC</t>
  </si>
  <si>
    <t xml:space="preserve">Electricity from solar </t>
  </si>
  <si>
    <t>Electricity from Wind</t>
  </si>
  <si>
    <t>Decenteralized electricity from wind and solar aggrigator</t>
  </si>
  <si>
    <t>TH2024USD/MWh</t>
  </si>
  <si>
    <t>BIOELC</t>
  </si>
  <si>
    <t>Electricity from Bioenergy</t>
  </si>
  <si>
    <t>BIOPOWER</t>
  </si>
  <si>
    <t>Natural Gas-Domestic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</si>
</sst>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7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6" fillId="0" borderId="0" xfId="4" applyFont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2" fontId="16" fillId="0" borderId="0" xfId="4" applyNumberFormat="1" applyFont="1"/>
    <xf numFmtId="165" fontId="16" fillId="0" borderId="0" xfId="4" applyNumberFormat="1" applyFont="1"/>
    <xf numFmtId="165" fontId="5" fillId="0" borderId="0" xfId="4" applyNumberFormat="1"/>
    <xf numFmtId="0" fontId="25" fillId="0" borderId="0" xfId="0" applyFont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46</xdr:row>
      <xdr:rowOff>137160</xdr:rowOff>
    </xdr:from>
    <xdr:to>
      <xdr:col>17</xdr:col>
      <xdr:colOff>133299</xdr:colOff>
      <xdr:row>55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8"/>
  <sheetViews>
    <sheetView topLeftCell="A12" zoomScale="142" zoomScaleNormal="142" workbookViewId="0">
      <selection activeCell="J25" sqref="J25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2" t="s">
        <v>58</v>
      </c>
      <c r="F2" s="72" t="s">
        <v>114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2" t="s">
        <v>58</v>
      </c>
      <c r="F3" s="72" t="s">
        <v>114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2" t="s">
        <v>58</v>
      </c>
      <c r="F4" s="72" t="s">
        <v>114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2" t="s">
        <v>58</v>
      </c>
      <c r="F5" s="72" t="s">
        <v>114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147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124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125</v>
      </c>
      <c r="Q8" s="37" t="s">
        <v>126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N10" s="7"/>
      <c r="O10" s="10"/>
      <c r="P10" s="7"/>
      <c r="Q10" s="7"/>
      <c r="R10" s="7"/>
      <c r="S10" s="7"/>
      <c r="T10" s="7"/>
      <c r="U10" s="7"/>
      <c r="V10" s="7"/>
    </row>
    <row r="11" spans="2:22" x14ac:dyDescent="0.25">
      <c r="N11" s="7"/>
      <c r="O11" s="10"/>
      <c r="P11" s="7"/>
      <c r="Q11" s="7"/>
      <c r="R11" s="7"/>
      <c r="S11" s="7"/>
      <c r="T11" s="7"/>
      <c r="U11" s="7"/>
      <c r="V11" s="7"/>
    </row>
    <row r="12" spans="2:22" x14ac:dyDescent="0.25">
      <c r="N12" s="1"/>
      <c r="P12" s="1"/>
      <c r="Q12" s="1"/>
      <c r="R12" s="1"/>
      <c r="S12" s="1"/>
      <c r="T12" s="1"/>
      <c r="U12" s="1"/>
      <c r="V12" s="1"/>
    </row>
    <row r="13" spans="2:22" x14ac:dyDescent="0.25">
      <c r="F13" s="2" t="s">
        <v>0</v>
      </c>
      <c r="G13" s="2"/>
      <c r="N13" s="6" t="s">
        <v>17</v>
      </c>
      <c r="O13" s="6"/>
      <c r="P13" s="10"/>
      <c r="Q13" s="10"/>
      <c r="R13" s="10"/>
      <c r="S13" s="10"/>
      <c r="T13" s="10"/>
      <c r="U13" s="10"/>
      <c r="V13" s="10"/>
    </row>
    <row r="14" spans="2:22" x14ac:dyDescent="0.25">
      <c r="B14" s="15" t="s">
        <v>1</v>
      </c>
      <c r="C14" s="16" t="s">
        <v>3</v>
      </c>
      <c r="D14" s="15" t="s">
        <v>4</v>
      </c>
      <c r="E14" s="15" t="s">
        <v>55</v>
      </c>
      <c r="F14" s="15" t="s">
        <v>16</v>
      </c>
      <c r="G14" s="15" t="s">
        <v>34</v>
      </c>
      <c r="H14" s="17" t="s">
        <v>47</v>
      </c>
      <c r="I14" s="17" t="s">
        <v>76</v>
      </c>
      <c r="J14" s="17" t="s">
        <v>77</v>
      </c>
      <c r="K14" s="17" t="s">
        <v>56</v>
      </c>
      <c r="N14" s="8" t="s">
        <v>15</v>
      </c>
      <c r="O14" s="9" t="s">
        <v>42</v>
      </c>
      <c r="P14" s="8" t="s">
        <v>1</v>
      </c>
      <c r="Q14" s="8" t="s">
        <v>2</v>
      </c>
      <c r="R14" s="8" t="s">
        <v>18</v>
      </c>
      <c r="S14" s="8" t="s">
        <v>19</v>
      </c>
      <c r="T14" s="8" t="s">
        <v>20</v>
      </c>
      <c r="U14" s="8" t="s">
        <v>21</v>
      </c>
      <c r="V14" s="8" t="s">
        <v>22</v>
      </c>
    </row>
    <row r="15" spans="2:22" ht="21.6" thickBot="1" x14ac:dyDescent="0.3">
      <c r="B15" s="18" t="s">
        <v>48</v>
      </c>
      <c r="C15" s="18" t="s">
        <v>32</v>
      </c>
      <c r="D15" s="18" t="s">
        <v>33</v>
      </c>
      <c r="E15" s="18" t="s">
        <v>54</v>
      </c>
      <c r="F15" s="18" t="s">
        <v>35</v>
      </c>
      <c r="G15" s="18" t="s">
        <v>49</v>
      </c>
      <c r="H15" s="18" t="s">
        <v>57</v>
      </c>
      <c r="I15" s="18" t="s">
        <v>78</v>
      </c>
      <c r="J15" s="18" t="s">
        <v>79</v>
      </c>
      <c r="K15" s="19" t="s">
        <v>80</v>
      </c>
      <c r="N15" s="13" t="s">
        <v>50</v>
      </c>
      <c r="O15" s="13" t="s">
        <v>44</v>
      </c>
      <c r="P15" s="13" t="s">
        <v>27</v>
      </c>
      <c r="Q15" s="13" t="s">
        <v>28</v>
      </c>
      <c r="R15" s="13" t="s">
        <v>29</v>
      </c>
      <c r="S15" s="13" t="s">
        <v>30</v>
      </c>
      <c r="T15" s="13" t="s">
        <v>51</v>
      </c>
      <c r="U15" s="13" t="s">
        <v>52</v>
      </c>
      <c r="V15" s="13" t="s">
        <v>31</v>
      </c>
    </row>
    <row r="16" spans="2:22" ht="21.6" thickBot="1" x14ac:dyDescent="0.3">
      <c r="B16" s="18" t="s">
        <v>53</v>
      </c>
      <c r="C16" s="20"/>
      <c r="D16" s="20"/>
      <c r="E16" s="20"/>
      <c r="F16" s="20"/>
      <c r="G16" s="20"/>
      <c r="H16" s="20" t="s">
        <v>54</v>
      </c>
      <c r="I16" s="20" t="s">
        <v>114</v>
      </c>
      <c r="J16" s="20" t="s">
        <v>58</v>
      </c>
      <c r="K16" s="21"/>
      <c r="N16" s="13" t="s">
        <v>81</v>
      </c>
      <c r="O16" s="22" t="s">
        <v>107</v>
      </c>
      <c r="P16" s="22"/>
      <c r="Q16" s="22"/>
      <c r="R16" s="22"/>
      <c r="S16" s="22"/>
      <c r="T16" s="22"/>
      <c r="U16" s="22"/>
      <c r="V16" s="22"/>
    </row>
    <row r="17" spans="2:20" x14ac:dyDescent="0.25">
      <c r="B17" s="7" t="str">
        <f>P17</f>
        <v>MINBIO</v>
      </c>
      <c r="C17" s="10"/>
      <c r="D17" s="7" t="str">
        <f>P5</f>
        <v>MANBIOMIN</v>
      </c>
      <c r="E17" s="1">
        <v>2030</v>
      </c>
      <c r="F17" s="1">
        <v>1</v>
      </c>
      <c r="G17" s="1">
        <v>1</v>
      </c>
      <c r="H17" s="1">
        <v>50</v>
      </c>
      <c r="I17" s="24">
        <v>17.166319999999999</v>
      </c>
      <c r="J17" s="25"/>
      <c r="K17" s="26">
        <v>8.76</v>
      </c>
      <c r="N17" s="38" t="s">
        <v>64</v>
      </c>
      <c r="O17" s="38"/>
      <c r="P17" s="39" t="s">
        <v>105</v>
      </c>
      <c r="Q17" s="40" t="str">
        <f>"Domestic Supply of "&amp;$D$4&amp;" "</f>
        <v xml:space="preserve">Domestic Supply of Biomass </v>
      </c>
      <c r="R17" s="38" t="s">
        <v>58</v>
      </c>
      <c r="S17" s="38"/>
      <c r="T17" s="12" t="s">
        <v>88</v>
      </c>
    </row>
    <row r="18" spans="2:20" x14ac:dyDescent="0.25">
      <c r="B18" s="7" t="str">
        <f>P18</f>
        <v>MINGAS</v>
      </c>
      <c r="C18" s="10"/>
      <c r="D18" s="7" t="str">
        <f>P6</f>
        <v>MANGASMIN</v>
      </c>
      <c r="E18" s="1">
        <v>2030</v>
      </c>
      <c r="F18" s="1">
        <v>1</v>
      </c>
      <c r="G18" s="1">
        <v>1</v>
      </c>
      <c r="H18" s="1">
        <v>50</v>
      </c>
      <c r="I18" s="28">
        <v>33.817659999999997</v>
      </c>
      <c r="J18" s="29"/>
      <c r="K18" s="26">
        <v>8.76</v>
      </c>
      <c r="N18" s="38" t="s">
        <v>64</v>
      </c>
      <c r="O18" s="38"/>
      <c r="P18" s="39" t="s">
        <v>106</v>
      </c>
      <c r="Q18" s="40" t="str">
        <f>"Domestic Supply of "&amp;$D$5&amp;" "</f>
        <v xml:space="preserve">Domestic Supply of Ngas </v>
      </c>
      <c r="R18" s="38" t="s">
        <v>58</v>
      </c>
      <c r="S18" s="38"/>
      <c r="T18" s="12" t="s">
        <v>88</v>
      </c>
    </row>
    <row r="19" spans="2:20" x14ac:dyDescent="0.25">
      <c r="B19" s="7" t="str">
        <f t="shared" ref="B19:B20" si="0">P19</f>
        <v>MINWIND</v>
      </c>
      <c r="C19" s="10"/>
      <c r="D19" s="7" t="str">
        <f t="shared" ref="D19:D20" si="1">P7</f>
        <v>WIND</v>
      </c>
      <c r="E19" s="1">
        <v>2030</v>
      </c>
      <c r="F19" s="1">
        <v>1</v>
      </c>
      <c r="G19" s="1">
        <v>1</v>
      </c>
      <c r="H19" s="1">
        <v>100</v>
      </c>
      <c r="I19" s="1">
        <v>0</v>
      </c>
      <c r="K19" s="26">
        <v>8.76</v>
      </c>
      <c r="N19" s="38" t="s">
        <v>64</v>
      </c>
      <c r="P19" s="1" t="s">
        <v>127</v>
      </c>
      <c r="Q19" s="1" t="s">
        <v>130</v>
      </c>
      <c r="R19" s="38" t="s">
        <v>58</v>
      </c>
      <c r="S19" s="38"/>
      <c r="T19" s="12" t="s">
        <v>88</v>
      </c>
    </row>
    <row r="20" spans="2:20" x14ac:dyDescent="0.25">
      <c r="B20" s="7" t="str">
        <f t="shared" si="0"/>
        <v>MINSOLAR</v>
      </c>
      <c r="C20" s="10"/>
      <c r="D20" s="7" t="str">
        <f t="shared" si="1"/>
        <v>SOLAR</v>
      </c>
      <c r="E20" s="1">
        <v>2030</v>
      </c>
      <c r="F20" s="1">
        <v>1</v>
      </c>
      <c r="G20" s="1">
        <v>1</v>
      </c>
      <c r="H20" s="1">
        <v>100</v>
      </c>
      <c r="I20" s="1">
        <v>0</v>
      </c>
      <c r="K20" s="26">
        <v>8.76</v>
      </c>
      <c r="N20" s="38" t="s">
        <v>64</v>
      </c>
      <c r="O20" s="14"/>
      <c r="P20" s="14" t="s">
        <v>128</v>
      </c>
      <c r="Q20" s="14" t="s">
        <v>129</v>
      </c>
      <c r="R20" s="38" t="s">
        <v>58</v>
      </c>
      <c r="S20" s="38"/>
      <c r="T20" s="12" t="s">
        <v>88</v>
      </c>
    </row>
    <row r="21" spans="2:20" x14ac:dyDescent="0.25">
      <c r="B21" s="7"/>
      <c r="C21" s="10"/>
      <c r="D21" s="7"/>
      <c r="E21" s="1"/>
      <c r="F21" s="1"/>
      <c r="G21" s="1"/>
      <c r="H21" s="1"/>
      <c r="N21" s="14"/>
      <c r="O21" s="14"/>
      <c r="P21" s="14"/>
      <c r="Q21" s="14"/>
      <c r="R21" s="38"/>
      <c r="S21" s="38"/>
      <c r="T21" s="38"/>
    </row>
    <row r="22" spans="2:20" x14ac:dyDescent="0.25">
      <c r="B22" s="7"/>
      <c r="C22" s="10"/>
      <c r="D22" s="7"/>
      <c r="E22" s="1"/>
      <c r="F22" s="1"/>
      <c r="G22" s="1"/>
      <c r="H22" s="1"/>
      <c r="N22" s="14"/>
      <c r="O22" s="14"/>
      <c r="P22" s="14"/>
      <c r="Q22" s="14"/>
      <c r="R22" s="38"/>
      <c r="S22" s="38"/>
      <c r="T22" s="38"/>
    </row>
    <row r="23" spans="2:20" x14ac:dyDescent="0.25">
      <c r="B23" s="7"/>
      <c r="C23" s="10"/>
      <c r="D23" s="7"/>
      <c r="E23" s="1"/>
      <c r="F23" s="1"/>
      <c r="G23" s="1"/>
      <c r="H23" s="1"/>
      <c r="N23" s="14"/>
      <c r="O23" s="14"/>
      <c r="P23" s="14"/>
      <c r="Q23" s="14"/>
      <c r="R23" s="38"/>
      <c r="S23" s="38"/>
      <c r="T23" s="38"/>
    </row>
    <row r="24" spans="2:20" x14ac:dyDescent="0.25">
      <c r="B24" s="7"/>
      <c r="C24" s="10"/>
      <c r="D24" s="7"/>
      <c r="E24" s="1"/>
      <c r="F24" s="1"/>
      <c r="G24" s="1"/>
      <c r="H24" s="1"/>
      <c r="N24" s="14"/>
      <c r="O24" s="14"/>
      <c r="P24" s="14"/>
      <c r="Q24" s="14"/>
      <c r="R24" s="38"/>
      <c r="S24" s="38"/>
      <c r="T24" s="38"/>
    </row>
    <row r="25" spans="2:20" x14ac:dyDescent="0.25">
      <c r="B25" s="7"/>
      <c r="C25" s="10"/>
      <c r="D25" s="7"/>
      <c r="E25" s="1"/>
      <c r="F25" s="1"/>
      <c r="G25" s="1"/>
      <c r="H25" s="1"/>
      <c r="N25" s="1"/>
      <c r="P25" s="1"/>
      <c r="Q25" s="1"/>
      <c r="R25" s="38"/>
      <c r="S25" s="38"/>
      <c r="T25" s="38"/>
    </row>
    <row r="26" spans="2:20" x14ac:dyDescent="0.25">
      <c r="B26" s="7"/>
      <c r="C26" s="10"/>
      <c r="D26" s="7"/>
      <c r="E26" s="1"/>
      <c r="F26" s="1"/>
      <c r="G26" s="1"/>
      <c r="H26" s="1"/>
      <c r="N26" s="1"/>
      <c r="P26" s="1"/>
      <c r="Q26" s="1"/>
      <c r="R26" s="38"/>
      <c r="S26" s="38"/>
      <c r="T26" s="38"/>
    </row>
    <row r="27" spans="2:20" x14ac:dyDescent="0.25">
      <c r="B27" s="7"/>
      <c r="C27" s="10"/>
      <c r="D27" s="7"/>
      <c r="E27" s="1"/>
      <c r="F27" s="1"/>
      <c r="G27" s="1"/>
      <c r="H27" s="1"/>
      <c r="N27" s="1"/>
      <c r="P27" s="1"/>
      <c r="Q27" s="1"/>
      <c r="R27" s="38"/>
      <c r="S27" s="38"/>
      <c r="T27" s="38"/>
    </row>
    <row r="28" spans="2:20" x14ac:dyDescent="0.25">
      <c r="N28" s="1"/>
      <c r="P28" s="1"/>
      <c r="Q28" s="1"/>
    </row>
    <row r="29" spans="2:20" x14ac:dyDescent="0.25">
      <c r="B29" s="12"/>
      <c r="C29" s="12"/>
      <c r="D29" s="12"/>
      <c r="E29" s="14"/>
      <c r="F29" s="14"/>
      <c r="G29" s="14"/>
      <c r="H29" s="14"/>
      <c r="N29" s="1"/>
      <c r="P29" s="1"/>
      <c r="Q29" s="1"/>
      <c r="R29" s="14"/>
      <c r="S29" s="14"/>
      <c r="T29" s="14"/>
    </row>
    <row r="30" spans="2:20" x14ac:dyDescent="0.25">
      <c r="B30" s="12"/>
      <c r="C30" s="12"/>
      <c r="D30" s="12"/>
      <c r="E30" s="14"/>
      <c r="F30" s="14"/>
      <c r="G30" s="14"/>
      <c r="H30" s="14"/>
      <c r="N30" s="1"/>
      <c r="P30" s="1"/>
      <c r="Q30" s="1"/>
      <c r="R30" s="14"/>
      <c r="S30" s="14"/>
      <c r="T30" s="14"/>
    </row>
    <row r="31" spans="2:20" x14ac:dyDescent="0.25">
      <c r="B31" s="12"/>
      <c r="C31" s="12"/>
      <c r="D31" s="12"/>
      <c r="E31" s="14"/>
      <c r="F31" s="14"/>
      <c r="G31" s="14"/>
      <c r="H31" s="14"/>
      <c r="N31" s="1"/>
      <c r="P31" s="1"/>
      <c r="Q31" s="1"/>
      <c r="R31" s="14"/>
      <c r="S31" s="14"/>
      <c r="T31" s="14"/>
    </row>
    <row r="32" spans="2:20" x14ac:dyDescent="0.25">
      <c r="B32" s="12"/>
      <c r="C32" s="12"/>
      <c r="D32" s="12"/>
      <c r="E32" s="14"/>
      <c r="F32" s="14"/>
      <c r="G32" s="14"/>
      <c r="H32" s="14"/>
      <c r="N32" s="1"/>
      <c r="P32" s="1"/>
      <c r="Q32" s="1"/>
      <c r="R32" s="14"/>
      <c r="S32" s="14"/>
      <c r="T32" s="14"/>
    </row>
    <row r="33" spans="2:20" x14ac:dyDescent="0.25">
      <c r="B33" s="12"/>
      <c r="C33" s="12"/>
      <c r="D33" s="12"/>
      <c r="E33" s="14"/>
      <c r="F33" s="14"/>
      <c r="G33" s="14"/>
      <c r="H33" s="14"/>
      <c r="N33" s="1"/>
      <c r="P33" s="1"/>
      <c r="Q33" s="1"/>
      <c r="R33" s="14"/>
      <c r="S33" s="14"/>
      <c r="T33" s="14"/>
    </row>
    <row r="34" spans="2:20" x14ac:dyDescent="0.25">
      <c r="B34" s="7"/>
      <c r="C34" s="10"/>
      <c r="D34" s="7"/>
      <c r="E34" s="1"/>
      <c r="F34" s="1"/>
      <c r="G34" s="1"/>
      <c r="N34" s="1"/>
      <c r="P34" s="1"/>
      <c r="Q34" s="1"/>
    </row>
    <row r="35" spans="2:20" x14ac:dyDescent="0.25">
      <c r="B35" s="7"/>
      <c r="C35" s="10"/>
      <c r="D35" s="7"/>
      <c r="E35" s="1"/>
      <c r="F35" s="1"/>
      <c r="G35" s="1"/>
      <c r="N35" s="1"/>
      <c r="P35" s="1"/>
      <c r="Q35" s="1"/>
    </row>
    <row r="36" spans="2:20" x14ac:dyDescent="0.25">
      <c r="B36" s="7"/>
      <c r="C36" s="10"/>
      <c r="D36" s="7"/>
      <c r="E36" s="1"/>
      <c r="F36" s="1"/>
      <c r="G36" s="1"/>
    </row>
    <row r="37" spans="2:20" x14ac:dyDescent="0.25">
      <c r="B37" s="7"/>
      <c r="C37" s="1"/>
      <c r="D37" s="7"/>
      <c r="E37" s="1"/>
      <c r="F37" s="1"/>
      <c r="G37" s="1"/>
    </row>
    <row r="38" spans="2:20" x14ac:dyDescent="0.25">
      <c r="B38" s="5"/>
      <c r="C38" s="7"/>
      <c r="D38" s="7"/>
      <c r="E38" s="1"/>
      <c r="F38" s="1"/>
      <c r="G38" s="1"/>
    </row>
    <row r="39" spans="2:20" x14ac:dyDescent="0.25">
      <c r="B39" s="5"/>
      <c r="C39" s="7"/>
      <c r="D39" s="7"/>
      <c r="E39" s="1"/>
      <c r="F39" s="1"/>
      <c r="G39" s="1"/>
    </row>
    <row r="40" spans="2:20" x14ac:dyDescent="0.25">
      <c r="B40" s="5"/>
      <c r="C40" s="7"/>
      <c r="D40" s="7"/>
      <c r="E40" s="1"/>
      <c r="F40" s="1"/>
      <c r="G40" s="1"/>
      <c r="N40" s="14"/>
      <c r="O40" s="14"/>
      <c r="P40" s="14"/>
      <c r="Q40" s="14"/>
    </row>
    <row r="41" spans="2:20" x14ac:dyDescent="0.25">
      <c r="B41" s="5"/>
      <c r="C41" s="1"/>
      <c r="D41" s="7"/>
      <c r="E41" s="1"/>
      <c r="F41" s="1"/>
      <c r="G41" s="1"/>
      <c r="N41" s="14"/>
      <c r="O41" s="14"/>
      <c r="P41" s="14"/>
      <c r="Q41" s="14"/>
    </row>
    <row r="42" spans="2:20" x14ac:dyDescent="0.25">
      <c r="B42" s="7"/>
      <c r="C42" s="1"/>
      <c r="D42" s="7"/>
      <c r="E42" s="1"/>
      <c r="F42" s="1"/>
      <c r="G42" s="1"/>
      <c r="N42" s="14"/>
      <c r="O42" s="14"/>
      <c r="P42" s="14"/>
      <c r="Q42" s="14"/>
    </row>
    <row r="43" spans="2:20" x14ac:dyDescent="0.25">
      <c r="B43" s="7"/>
      <c r="C43" s="1"/>
      <c r="D43" s="7"/>
      <c r="E43" s="1"/>
      <c r="F43" s="1"/>
      <c r="G43" s="1"/>
      <c r="N43" s="14"/>
      <c r="O43" s="14"/>
      <c r="P43" s="14"/>
      <c r="Q43" s="14"/>
    </row>
    <row r="44" spans="2:20" x14ac:dyDescent="0.25">
      <c r="B44" s="7"/>
      <c r="D44" s="7"/>
      <c r="E44" s="1"/>
      <c r="F44" s="1"/>
      <c r="G44" s="1"/>
      <c r="N44" s="14"/>
      <c r="O44" s="14"/>
      <c r="P44" s="14"/>
      <c r="Q44" s="14"/>
    </row>
    <row r="45" spans="2:20" x14ac:dyDescent="0.25">
      <c r="P45" s="10"/>
      <c r="Q45" s="27"/>
    </row>
    <row r="46" spans="2:20" x14ac:dyDescent="0.25">
      <c r="B46" s="23"/>
      <c r="C46" s="1" t="s">
        <v>82</v>
      </c>
    </row>
    <row r="47" spans="2:20" x14ac:dyDescent="0.25">
      <c r="B47" s="30"/>
      <c r="C47" s="1" t="s">
        <v>83</v>
      </c>
    </row>
    <row r="56" spans="1:23" s="1" customFormat="1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</row>
    <row r="57" spans="1:23" x14ac:dyDescent="0.25">
      <c r="W57" s="1"/>
    </row>
    <row r="58" spans="1:23" x14ac:dyDescent="0.25">
      <c r="A58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46"/>
  <sheetViews>
    <sheetView tabSelected="1" topLeftCell="A11" zoomScale="118" zoomScaleNormal="118" workbookViewId="0">
      <selection activeCell="L35" sqref="L35"/>
    </sheetView>
  </sheetViews>
  <sheetFormatPr defaultColWidth="8.77734375" defaultRowHeight="13.2" x14ac:dyDescent="0.25"/>
  <cols>
    <col min="1" max="1" width="3" style="45" customWidth="1"/>
    <col min="2" max="2" width="12.21875" style="45" bestFit="1" customWidth="1"/>
    <col min="3" max="3" width="25.77734375" style="45" customWidth="1"/>
    <col min="4" max="4" width="13.77734375" style="45" bestFit="1" customWidth="1"/>
    <col min="5" max="5" width="20" style="45" bestFit="1" customWidth="1"/>
    <col min="6" max="6" width="13.21875" style="45" bestFit="1" customWidth="1"/>
    <col min="7" max="7" width="9.5546875" style="45" bestFit="1" customWidth="1"/>
    <col min="8" max="8" width="7.77734375" style="45" bestFit="1" customWidth="1"/>
    <col min="9" max="9" width="8.21875" style="45" customWidth="1"/>
    <col min="10" max="10" width="12.77734375" style="45" bestFit="1" customWidth="1"/>
    <col min="11" max="12" width="8.21875" style="45" customWidth="1"/>
    <col min="13" max="13" width="10.21875" style="45" bestFit="1" customWidth="1"/>
    <col min="14" max="19" width="8.21875" style="45" customWidth="1"/>
    <col min="20" max="21" width="8.21875" style="46" customWidth="1"/>
    <col min="22" max="22" width="12.77734375" style="45" bestFit="1" customWidth="1"/>
    <col min="23" max="23" width="7.21875" style="45" customWidth="1"/>
    <col min="24" max="24" width="11.44140625" style="45" bestFit="1" customWidth="1"/>
    <col min="25" max="25" width="63.77734375" style="45" bestFit="1" customWidth="1"/>
    <col min="26" max="26" width="8.21875" style="45" bestFit="1" customWidth="1"/>
    <col min="27" max="27" width="11.77734375" style="45" customWidth="1"/>
    <col min="28" max="28" width="13.44140625" style="45" customWidth="1"/>
    <col min="29" max="29" width="13.77734375" style="45" customWidth="1"/>
    <col min="30" max="30" width="8.44140625" style="45" customWidth="1"/>
    <col min="31" max="35" width="8.77734375" style="45"/>
    <col min="36" max="36" width="25.21875" style="45" bestFit="1" customWidth="1"/>
    <col min="37" max="37" width="16" style="45" bestFit="1" customWidth="1"/>
    <col min="38" max="40" width="8.77734375" style="45"/>
    <col min="41" max="41" width="13.21875" style="45" bestFit="1" customWidth="1"/>
    <col min="42" max="43" width="8.77734375" style="45"/>
    <col min="44" max="44" width="25.21875" style="45" bestFit="1" customWidth="1"/>
    <col min="45" max="16384" width="8.77734375" style="45"/>
  </cols>
  <sheetData>
    <row r="1" spans="2:51" ht="14.4" x14ac:dyDescent="0.3">
      <c r="B1" s="44" t="s">
        <v>38</v>
      </c>
      <c r="C1" s="44" t="s">
        <v>39</v>
      </c>
      <c r="D1" s="44" t="s">
        <v>40</v>
      </c>
      <c r="E1" s="44" t="s">
        <v>71</v>
      </c>
      <c r="F1" s="44" t="s">
        <v>41</v>
      </c>
      <c r="G1" s="44"/>
      <c r="H1" s="44" t="s">
        <v>84</v>
      </c>
    </row>
    <row r="2" spans="2:51" ht="31.2" x14ac:dyDescent="0.3">
      <c r="B2" s="47" t="s">
        <v>94</v>
      </c>
      <c r="C2" s="47" t="s">
        <v>95</v>
      </c>
      <c r="D2" s="48" t="str">
        <f>"Demand Technologies"</f>
        <v>Demand Technologies</v>
      </c>
      <c r="E2" s="47" t="s">
        <v>58</v>
      </c>
      <c r="F2" s="47" t="s">
        <v>115</v>
      </c>
      <c r="G2" s="47"/>
      <c r="H2" s="47" t="s">
        <v>93</v>
      </c>
      <c r="V2" s="49" t="s">
        <v>7</v>
      </c>
      <c r="W2" s="49"/>
      <c r="X2" s="50"/>
      <c r="Y2" s="50"/>
      <c r="Z2" s="50"/>
      <c r="AA2" s="50"/>
      <c r="AB2" s="50"/>
      <c r="AC2" s="50"/>
      <c r="AD2" s="50"/>
    </row>
    <row r="3" spans="2:51" x14ac:dyDescent="0.25">
      <c r="V3" s="51" t="s">
        <v>8</v>
      </c>
      <c r="W3" s="52" t="s">
        <v>42</v>
      </c>
      <c r="X3" s="51" t="s">
        <v>6</v>
      </c>
      <c r="Y3" s="51" t="s">
        <v>9</v>
      </c>
      <c r="Z3" s="51" t="s">
        <v>10</v>
      </c>
      <c r="AA3" s="51" t="s">
        <v>11</v>
      </c>
      <c r="AB3" s="51" t="s">
        <v>12</v>
      </c>
      <c r="AC3" s="51" t="s">
        <v>13</v>
      </c>
      <c r="AD3" s="51" t="s">
        <v>14</v>
      </c>
    </row>
    <row r="4" spans="2:51" ht="22.2" thickBot="1" x14ac:dyDescent="0.35">
      <c r="B4" s="53"/>
      <c r="C4" s="53"/>
      <c r="D4" s="53"/>
      <c r="E4" s="53"/>
      <c r="F4" s="53"/>
      <c r="G4" s="53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51" ht="15.6" x14ac:dyDescent="0.3">
      <c r="B5" s="53"/>
      <c r="C5" s="53"/>
      <c r="D5" s="53"/>
      <c r="E5" s="53"/>
      <c r="F5" s="53"/>
      <c r="G5" s="53"/>
      <c r="V5" s="77" t="s">
        <v>69</v>
      </c>
      <c r="X5" s="45" t="s">
        <v>139</v>
      </c>
      <c r="Y5" s="77" t="s">
        <v>140</v>
      </c>
      <c r="Z5" s="77" t="s">
        <v>58</v>
      </c>
      <c r="AB5" s="77" t="s">
        <v>88</v>
      </c>
    </row>
    <row r="6" spans="2:51" ht="15.6" x14ac:dyDescent="0.3">
      <c r="B6" s="53"/>
      <c r="C6" s="53"/>
      <c r="D6" s="53"/>
      <c r="E6" s="53"/>
      <c r="F6" s="53"/>
      <c r="G6" s="53"/>
      <c r="V6" s="77" t="s">
        <v>69</v>
      </c>
      <c r="X6" s="45" t="s">
        <v>138</v>
      </c>
      <c r="Y6" s="77" t="s">
        <v>141</v>
      </c>
      <c r="Z6" s="77" t="s">
        <v>58</v>
      </c>
      <c r="AB6" s="77" t="s">
        <v>88</v>
      </c>
    </row>
    <row r="7" spans="2:51" ht="15.6" x14ac:dyDescent="0.3">
      <c r="B7" s="53"/>
      <c r="C7" s="53"/>
      <c r="D7" s="53"/>
      <c r="E7" s="53"/>
      <c r="F7" s="53"/>
      <c r="G7" s="53"/>
      <c r="V7" s="45" t="s">
        <v>69</v>
      </c>
      <c r="X7" s="45" t="s">
        <v>144</v>
      </c>
      <c r="Y7" s="45" t="s">
        <v>145</v>
      </c>
      <c r="Z7" s="77" t="s">
        <v>58</v>
      </c>
      <c r="AB7" s="77" t="s">
        <v>88</v>
      </c>
    </row>
    <row r="8" spans="2:51" x14ac:dyDescent="0.25">
      <c r="AE8" s="46"/>
    </row>
    <row r="9" spans="2:51" x14ac:dyDescent="0.25">
      <c r="V9" s="50"/>
      <c r="W9" s="50"/>
      <c r="X9" s="50"/>
      <c r="Y9" s="50"/>
      <c r="Z9" s="50"/>
      <c r="AA9" s="50"/>
      <c r="AB9" s="50"/>
      <c r="AC9" s="50"/>
      <c r="AD9" s="50"/>
    </row>
    <row r="10" spans="2:51" x14ac:dyDescent="0.25">
      <c r="V10" s="50"/>
      <c r="W10" s="50"/>
      <c r="X10" s="50"/>
      <c r="Y10" s="50"/>
      <c r="Z10" s="50"/>
      <c r="AA10" s="50"/>
      <c r="AB10" s="50"/>
      <c r="AC10" s="50"/>
      <c r="AD10" s="50"/>
    </row>
    <row r="13" spans="2:51" x14ac:dyDescent="0.25">
      <c r="D13" s="55" t="s">
        <v>0</v>
      </c>
      <c r="E13" s="55"/>
      <c r="F13" s="55"/>
      <c r="H13" s="55"/>
      <c r="V13" s="49" t="s">
        <v>17</v>
      </c>
      <c r="W13" s="49"/>
      <c r="X13" s="50"/>
      <c r="Y13" s="50"/>
      <c r="Z13" s="50"/>
      <c r="AA13" s="50"/>
      <c r="AB13" s="50"/>
      <c r="AC13" s="50"/>
      <c r="AD13" s="50"/>
      <c r="AI13"/>
      <c r="AJ13" s="39"/>
      <c r="AK13" s="77"/>
      <c r="AL13" s="77"/>
      <c r="AM13" s="77"/>
      <c r="AN13" s="77"/>
      <c r="AO13" s="77"/>
      <c r="AP13" s="77"/>
      <c r="AQ13" s="77"/>
      <c r="AR13" s="77"/>
      <c r="AS13" s="77"/>
      <c r="AT13" s="77"/>
      <c r="AU13" s="77"/>
      <c r="AV13" s="77"/>
      <c r="AW13" s="77"/>
    </row>
    <row r="14" spans="2:51" ht="24" customHeight="1" x14ac:dyDescent="0.25">
      <c r="B14" s="56" t="s">
        <v>1</v>
      </c>
      <c r="C14" s="56" t="s">
        <v>3</v>
      </c>
      <c r="D14" s="56" t="s">
        <v>4</v>
      </c>
      <c r="E14" s="57" t="s">
        <v>118</v>
      </c>
      <c r="F14" s="57" t="s">
        <v>16</v>
      </c>
      <c r="G14" s="57" t="s">
        <v>34</v>
      </c>
      <c r="H14" s="57" t="s">
        <v>47</v>
      </c>
      <c r="I14" s="57" t="s">
        <v>36</v>
      </c>
      <c r="J14" s="59" t="s">
        <v>5</v>
      </c>
      <c r="K14" s="59" t="s">
        <v>103</v>
      </c>
      <c r="L14" s="57" t="s">
        <v>56</v>
      </c>
      <c r="M14" s="59" t="s">
        <v>108</v>
      </c>
      <c r="N14" s="58" t="s">
        <v>117</v>
      </c>
      <c r="O14" s="59" t="s">
        <v>120</v>
      </c>
      <c r="P14" s="59" t="s">
        <v>121</v>
      </c>
      <c r="Q14" s="59" t="s">
        <v>122</v>
      </c>
      <c r="R14" s="59" t="s">
        <v>123</v>
      </c>
      <c r="S14" s="59" t="s">
        <v>131</v>
      </c>
      <c r="V14" s="51" t="s">
        <v>15</v>
      </c>
      <c r="W14" s="52" t="s">
        <v>42</v>
      </c>
      <c r="X14" s="51" t="s">
        <v>1</v>
      </c>
      <c r="Y14" s="51" t="s">
        <v>2</v>
      </c>
      <c r="Z14" s="51" t="s">
        <v>18</v>
      </c>
      <c r="AA14" s="51" t="s">
        <v>19</v>
      </c>
      <c r="AB14" s="51" t="s">
        <v>20</v>
      </c>
      <c r="AC14" s="51" t="s">
        <v>21</v>
      </c>
      <c r="AD14" s="51" t="s">
        <v>22</v>
      </c>
      <c r="AI14"/>
      <c r="AJ14" s="39"/>
      <c r="AK14" s="77"/>
      <c r="AL14" s="77"/>
      <c r="AM14" s="77"/>
      <c r="AN14" s="77"/>
      <c r="AO14" s="77"/>
      <c r="AP14" s="77"/>
      <c r="AQ14" s="77"/>
      <c r="AR14" s="77"/>
      <c r="AS14" s="77"/>
      <c r="AT14" s="77"/>
      <c r="AU14" s="77"/>
      <c r="AV14" s="77"/>
      <c r="AW14" s="77"/>
      <c r="AY14" s="46"/>
    </row>
    <row r="15" spans="2:51" ht="31.8" thickBot="1" x14ac:dyDescent="0.3">
      <c r="B15" s="32" t="s">
        <v>48</v>
      </c>
      <c r="C15" s="32" t="s">
        <v>32</v>
      </c>
      <c r="D15" s="32" t="s">
        <v>33</v>
      </c>
      <c r="E15" s="32" t="s">
        <v>54</v>
      </c>
      <c r="F15" s="32" t="s">
        <v>35</v>
      </c>
      <c r="G15" s="33" t="s">
        <v>49</v>
      </c>
      <c r="H15" s="32" t="s">
        <v>57</v>
      </c>
      <c r="I15" s="32" t="s">
        <v>86</v>
      </c>
      <c r="J15" s="33" t="s">
        <v>37</v>
      </c>
      <c r="K15" s="33" t="s">
        <v>104</v>
      </c>
      <c r="L15" s="33" t="s">
        <v>80</v>
      </c>
      <c r="M15" s="33" t="s">
        <v>109</v>
      </c>
      <c r="N15" s="32" t="s">
        <v>85</v>
      </c>
      <c r="O15" s="33" t="s">
        <v>119</v>
      </c>
      <c r="P15" s="33" t="s">
        <v>119</v>
      </c>
      <c r="Q15" s="33" t="s">
        <v>119</v>
      </c>
      <c r="R15" s="75" t="s">
        <v>119</v>
      </c>
      <c r="S15" s="75" t="s">
        <v>132</v>
      </c>
      <c r="V15" s="31" t="s">
        <v>50</v>
      </c>
      <c r="W15" s="31" t="s">
        <v>44</v>
      </c>
      <c r="X15" s="31" t="s">
        <v>27</v>
      </c>
      <c r="Y15" s="31" t="s">
        <v>28</v>
      </c>
      <c r="Z15" s="31" t="s">
        <v>29</v>
      </c>
      <c r="AA15" s="31" t="s">
        <v>30</v>
      </c>
      <c r="AB15" s="31" t="s">
        <v>51</v>
      </c>
      <c r="AC15" s="31" t="s">
        <v>52</v>
      </c>
      <c r="AD15" s="31" t="s">
        <v>31</v>
      </c>
      <c r="AI15"/>
      <c r="AJ15" s="39"/>
      <c r="AY15" s="46"/>
    </row>
    <row r="16" spans="2:51" ht="33.75" customHeight="1" thickBot="1" x14ac:dyDescent="0.3">
      <c r="B16" s="34" t="s">
        <v>53</v>
      </c>
      <c r="C16" s="34"/>
      <c r="D16" s="34"/>
      <c r="E16" s="35"/>
      <c r="F16" s="35"/>
      <c r="G16" s="36"/>
      <c r="H16" s="35" t="s">
        <v>54</v>
      </c>
      <c r="I16" s="35" t="s">
        <v>116</v>
      </c>
      <c r="J16" s="35" t="s">
        <v>116</v>
      </c>
      <c r="K16" s="35" t="s">
        <v>143</v>
      </c>
      <c r="L16" s="36"/>
      <c r="M16" s="36" t="s">
        <v>110</v>
      </c>
      <c r="N16" s="35"/>
      <c r="O16" s="36"/>
      <c r="P16" s="36"/>
      <c r="Q16" s="36"/>
      <c r="R16" s="35"/>
      <c r="S16" s="76"/>
      <c r="V16" s="31" t="s">
        <v>81</v>
      </c>
      <c r="W16" s="31"/>
      <c r="X16" s="31"/>
      <c r="Y16" s="31"/>
      <c r="Z16" s="31"/>
      <c r="AA16" s="31"/>
      <c r="AB16" s="31"/>
      <c r="AC16" s="31"/>
      <c r="AD16" s="31"/>
      <c r="AI16"/>
      <c r="AJ16" s="39"/>
      <c r="AY16" s="46"/>
    </row>
    <row r="17" spans="2:51" x14ac:dyDescent="0.25">
      <c r="B17" s="45" t="str">
        <f>X17</f>
        <v>Furnace</v>
      </c>
      <c r="C17" s="45" t="s">
        <v>69</v>
      </c>
      <c r="D17" s="50" t="s">
        <v>112</v>
      </c>
      <c r="E17" s="43">
        <v>2030</v>
      </c>
      <c r="F17" s="64">
        <v>1</v>
      </c>
      <c r="G17" s="64">
        <v>1</v>
      </c>
      <c r="H17" s="43">
        <v>25</v>
      </c>
      <c r="I17" s="64">
        <v>81</v>
      </c>
      <c r="J17" s="64">
        <v>0</v>
      </c>
      <c r="K17" s="64">
        <v>0.24</v>
      </c>
      <c r="L17" s="64">
        <v>8.76</v>
      </c>
      <c r="M17" s="43"/>
      <c r="N17" s="64">
        <v>0.1</v>
      </c>
      <c r="O17" s="64">
        <v>0.15</v>
      </c>
      <c r="P17" s="64">
        <v>0.2</v>
      </c>
      <c r="Q17" s="64">
        <v>0.25</v>
      </c>
      <c r="R17" s="64">
        <v>0.35</v>
      </c>
      <c r="S17" s="43"/>
      <c r="V17" s="60" t="s">
        <v>134</v>
      </c>
      <c r="W17" s="60"/>
      <c r="X17" s="61" t="s">
        <v>66</v>
      </c>
      <c r="Y17" s="62" t="s">
        <v>133</v>
      </c>
      <c r="Z17" s="45" t="s">
        <v>58</v>
      </c>
      <c r="AA17" s="45" t="s">
        <v>87</v>
      </c>
      <c r="AB17" s="63" t="s">
        <v>88</v>
      </c>
      <c r="AC17" s="46"/>
      <c r="AD17" s="46"/>
      <c r="AI17"/>
      <c r="AJ17" s="39"/>
      <c r="AK17" s="77"/>
      <c r="AL17" s="77"/>
      <c r="AM17" s="77"/>
      <c r="AN17" s="77"/>
      <c r="AO17" s="77"/>
      <c r="AP17" s="77"/>
      <c r="AQ17" s="77"/>
      <c r="AR17" s="77"/>
      <c r="AS17" s="77"/>
      <c r="AT17" s="77"/>
      <c r="AU17" s="77"/>
      <c r="AV17" s="77"/>
      <c r="AW17" s="77"/>
      <c r="AY17" s="46"/>
    </row>
    <row r="18" spans="2:51" x14ac:dyDescent="0.25">
      <c r="B18" s="45" t="str">
        <f>X$18</f>
        <v>BIOBoiler</v>
      </c>
      <c r="C18" s="45" t="str">
        <f>PRI_Sector_Fuels!P5</f>
        <v>MANBIOMIN</v>
      </c>
      <c r="D18" s="50" t="s">
        <v>112</v>
      </c>
      <c r="E18" s="43">
        <v>2030</v>
      </c>
      <c r="F18" s="64">
        <v>0.7</v>
      </c>
      <c r="G18" s="64">
        <v>0.98</v>
      </c>
      <c r="H18" s="43">
        <v>25</v>
      </c>
      <c r="I18" s="64">
        <v>797.9</v>
      </c>
      <c r="J18" s="64">
        <v>48.48</v>
      </c>
      <c r="K18" s="64">
        <v>3.75</v>
      </c>
      <c r="L18" s="64">
        <v>8.76</v>
      </c>
      <c r="M18" s="43"/>
      <c r="N18" s="68"/>
      <c r="O18" s="43"/>
      <c r="P18" s="43"/>
      <c r="Q18" s="43"/>
      <c r="R18" s="43"/>
      <c r="S18" s="43"/>
      <c r="V18" s="60" t="s">
        <v>134</v>
      </c>
      <c r="W18" s="60"/>
      <c r="X18" s="61" t="s">
        <v>97</v>
      </c>
      <c r="Y18" s="62" t="s">
        <v>96</v>
      </c>
      <c r="Z18" s="45" t="s">
        <v>58</v>
      </c>
      <c r="AA18" s="45" t="s">
        <v>87</v>
      </c>
      <c r="AB18" s="63" t="s">
        <v>88</v>
      </c>
      <c r="AC18" s="46"/>
      <c r="AD18" s="46"/>
      <c r="AI18"/>
      <c r="AJ18" s="39"/>
      <c r="AK18" s="77"/>
      <c r="AL18" s="77"/>
      <c r="AM18" s="77"/>
      <c r="AN18" s="77"/>
      <c r="AO18" s="77"/>
      <c r="AP18" s="77"/>
      <c r="AQ18" s="77"/>
      <c r="AR18" s="77"/>
      <c r="AS18" s="77"/>
      <c r="AT18" s="77"/>
      <c r="AU18" s="77"/>
      <c r="AV18" s="77"/>
      <c r="AW18" s="77"/>
      <c r="AY18" s="46"/>
    </row>
    <row r="19" spans="2:51" x14ac:dyDescent="0.25">
      <c r="B19" s="45" t="str">
        <f>X21</f>
        <v>ELCBoiler</v>
      </c>
      <c r="C19" s="45" t="s">
        <v>69</v>
      </c>
      <c r="D19" s="50" t="s">
        <v>112</v>
      </c>
      <c r="E19" s="43">
        <v>2030</v>
      </c>
      <c r="F19" s="64">
        <v>0.99</v>
      </c>
      <c r="G19" s="64">
        <v>1</v>
      </c>
      <c r="H19" s="43">
        <v>25</v>
      </c>
      <c r="I19" s="64">
        <v>112.9</v>
      </c>
      <c r="J19" s="64">
        <v>14.26</v>
      </c>
      <c r="K19" s="64">
        <v>1.22</v>
      </c>
      <c r="L19" s="64">
        <v>8.76</v>
      </c>
      <c r="M19" s="43"/>
      <c r="S19" s="43"/>
      <c r="V19" s="60" t="s">
        <v>134</v>
      </c>
      <c r="W19" s="60"/>
      <c r="X19" s="61" t="s">
        <v>98</v>
      </c>
      <c r="Y19" s="62" t="s">
        <v>137</v>
      </c>
      <c r="Z19" s="45" t="s">
        <v>58</v>
      </c>
      <c r="AA19" s="45" t="s">
        <v>87</v>
      </c>
      <c r="AB19" s="63" t="s">
        <v>88</v>
      </c>
      <c r="AC19" s="46"/>
      <c r="AD19" s="46"/>
      <c r="AI19"/>
      <c r="AJ19" s="39"/>
      <c r="AY19" s="46"/>
    </row>
    <row r="20" spans="2:51" s="46" customFormat="1" x14ac:dyDescent="0.25">
      <c r="B20" s="45" t="str">
        <f>X19</f>
        <v>BIOKiln</v>
      </c>
      <c r="C20" s="45" t="str">
        <f>PRI_Sector_Fuels!P5</f>
        <v>MANBIOMIN</v>
      </c>
      <c r="D20" s="50" t="s">
        <v>113</v>
      </c>
      <c r="E20" s="43">
        <v>2030</v>
      </c>
      <c r="F20" s="64">
        <v>0.55600000000000005</v>
      </c>
      <c r="G20" s="64">
        <v>0.98</v>
      </c>
      <c r="H20" s="43">
        <v>25</v>
      </c>
      <c r="I20" s="64">
        <v>297.10000000000002</v>
      </c>
      <c r="J20" s="64">
        <v>4.46</v>
      </c>
      <c r="K20" s="64">
        <v>0.45</v>
      </c>
      <c r="L20" s="64">
        <v>8.76</v>
      </c>
      <c r="M20" s="43"/>
      <c r="N20" s="64">
        <v>0.1</v>
      </c>
      <c r="O20" s="64">
        <v>0.15</v>
      </c>
      <c r="P20" s="64">
        <v>0.2</v>
      </c>
      <c r="Q20" s="64">
        <v>0.25</v>
      </c>
      <c r="R20" s="64">
        <v>0.35</v>
      </c>
      <c r="S20" s="43"/>
      <c r="V20" s="60" t="s">
        <v>134</v>
      </c>
      <c r="W20" s="60"/>
      <c r="X20" s="61" t="s">
        <v>99</v>
      </c>
      <c r="Y20" s="62" t="s">
        <v>100</v>
      </c>
      <c r="Z20" s="45" t="s">
        <v>58</v>
      </c>
      <c r="AA20" s="45" t="s">
        <v>87</v>
      </c>
      <c r="AB20" s="63" t="s">
        <v>88</v>
      </c>
      <c r="AI20"/>
      <c r="AJ20"/>
      <c r="AK20" s="45"/>
      <c r="AL20" s="45"/>
      <c r="AM20" s="45"/>
      <c r="AN20" s="45"/>
      <c r="AO20" s="45"/>
      <c r="AP20" s="45"/>
      <c r="AQ20" s="45"/>
      <c r="AR20" s="45"/>
      <c r="AS20" s="45"/>
      <c r="AT20" s="45"/>
      <c r="AU20" s="45"/>
      <c r="AV20" s="45"/>
      <c r="AW20" s="45"/>
    </row>
    <row r="21" spans="2:51" s="46" customFormat="1" x14ac:dyDescent="0.25">
      <c r="B21" s="50" t="str">
        <f>X20</f>
        <v>GASBoiler</v>
      </c>
      <c r="C21" s="45" t="str">
        <f>PRI_Sector_Fuels!P6</f>
        <v>MANGASMIN</v>
      </c>
      <c r="D21" s="50" t="s">
        <v>112</v>
      </c>
      <c r="E21" s="43">
        <v>2030</v>
      </c>
      <c r="F21" s="64">
        <v>0.75</v>
      </c>
      <c r="G21" s="64">
        <v>0.99</v>
      </c>
      <c r="H21" s="43">
        <v>25</v>
      </c>
      <c r="I21" s="64">
        <v>61.4</v>
      </c>
      <c r="J21" s="64">
        <v>2.57</v>
      </c>
      <c r="K21" s="64">
        <v>1.35</v>
      </c>
      <c r="L21" s="64">
        <v>8.76</v>
      </c>
      <c r="M21" s="43"/>
      <c r="N21" s="68"/>
      <c r="O21" s="43"/>
      <c r="P21" s="43"/>
      <c r="Q21" s="43"/>
      <c r="R21" s="43"/>
      <c r="S21" s="43"/>
      <c r="V21" s="60" t="s">
        <v>134</v>
      </c>
      <c r="W21" s="60"/>
      <c r="X21" s="61" t="s">
        <v>101</v>
      </c>
      <c r="Y21" s="62" t="s">
        <v>136</v>
      </c>
      <c r="Z21" s="45" t="s">
        <v>58</v>
      </c>
      <c r="AA21" s="45" t="s">
        <v>87</v>
      </c>
      <c r="AB21" s="63" t="s">
        <v>88</v>
      </c>
      <c r="AI21"/>
      <c r="AJ21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</row>
    <row r="22" spans="2:51" s="46" customFormat="1" x14ac:dyDescent="0.25">
      <c r="B22" s="50" t="str">
        <f>X23</f>
        <v>WNDTRBN</v>
      </c>
      <c r="C22" s="45" t="str">
        <f>PRI_Sector_Fuels!D19</f>
        <v>WIND</v>
      </c>
      <c r="D22" s="50" t="s">
        <v>138</v>
      </c>
      <c r="E22" s="43">
        <v>2030</v>
      </c>
      <c r="F22" s="83">
        <v>1</v>
      </c>
      <c r="G22" s="64">
        <v>0.97</v>
      </c>
      <c r="H22" s="43">
        <v>25</v>
      </c>
      <c r="I22" s="64">
        <v>1041</v>
      </c>
      <c r="J22" s="64">
        <v>38</v>
      </c>
      <c r="K22" s="64">
        <v>0</v>
      </c>
      <c r="L22" s="64">
        <v>8.76</v>
      </c>
      <c r="M22" s="68"/>
      <c r="N22" s="68"/>
      <c r="O22" s="64"/>
      <c r="P22" s="64"/>
      <c r="Q22" s="64"/>
      <c r="R22" s="68"/>
      <c r="S22" s="43">
        <v>0.2</v>
      </c>
      <c r="V22" s="60" t="s">
        <v>134</v>
      </c>
      <c r="W22" s="60"/>
      <c r="X22" s="61" t="s">
        <v>65</v>
      </c>
      <c r="Y22" s="62" t="s">
        <v>102</v>
      </c>
      <c r="Z22" s="45" t="s">
        <v>58</v>
      </c>
      <c r="AA22" s="45" t="s">
        <v>87</v>
      </c>
      <c r="AB22" s="46" t="s">
        <v>88</v>
      </c>
      <c r="AI22"/>
      <c r="AJ22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</row>
    <row r="23" spans="2:51" s="46" customFormat="1" x14ac:dyDescent="0.25">
      <c r="B23" s="50" t="str">
        <f>X24</f>
        <v>SOLPV</v>
      </c>
      <c r="C23" s="45" t="str">
        <f>PRI_Sector_Fuels!D20</f>
        <v>SOLAR</v>
      </c>
      <c r="D23" s="50" t="s">
        <v>139</v>
      </c>
      <c r="E23" s="43">
        <v>2030</v>
      </c>
      <c r="F23" s="83">
        <v>0.20499999999999999</v>
      </c>
      <c r="G23" s="64">
        <v>0.99</v>
      </c>
      <c r="H23" s="43">
        <v>25</v>
      </c>
      <c r="I23" s="64">
        <v>691</v>
      </c>
      <c r="J23" s="64">
        <v>6.99</v>
      </c>
      <c r="K23" s="64">
        <v>0</v>
      </c>
      <c r="L23" s="64">
        <v>8.76</v>
      </c>
      <c r="M23" s="68"/>
      <c r="N23" s="68"/>
      <c r="O23" s="64"/>
      <c r="P23" s="64"/>
      <c r="Q23" s="64"/>
      <c r="R23" s="68"/>
      <c r="S23" s="43">
        <v>0.3</v>
      </c>
      <c r="V23" s="60" t="s">
        <v>69</v>
      </c>
      <c r="W23" s="60"/>
      <c r="X23" s="61" t="s">
        <v>89</v>
      </c>
      <c r="Y23" s="62" t="s">
        <v>92</v>
      </c>
      <c r="Z23" s="45" t="s">
        <v>58</v>
      </c>
      <c r="AA23" s="45" t="s">
        <v>87</v>
      </c>
      <c r="AB23" s="46" t="s">
        <v>88</v>
      </c>
      <c r="AI23"/>
      <c r="AJ23"/>
      <c r="AK23" s="45"/>
      <c r="AL23" s="45"/>
      <c r="AM23" s="45"/>
      <c r="AN23" s="45"/>
      <c r="AO23" s="45"/>
      <c r="AP23" s="45"/>
      <c r="AQ23" s="45"/>
      <c r="AR23" s="45"/>
      <c r="AS23" s="45"/>
      <c r="AT23" s="45"/>
      <c r="AU23" s="45"/>
      <c r="AV23" s="45"/>
      <c r="AW23" s="45"/>
    </row>
    <row r="24" spans="2:51" s="46" customFormat="1" x14ac:dyDescent="0.25">
      <c r="B24" s="50" t="str">
        <f>X22</f>
        <v>CSP</v>
      </c>
      <c r="C24" s="45" t="str">
        <f>PRI_Sector_Fuels!D20</f>
        <v>SOLAR</v>
      </c>
      <c r="D24" s="50" t="s">
        <v>112</v>
      </c>
      <c r="E24" s="43">
        <v>2030</v>
      </c>
      <c r="F24" s="83">
        <v>0.4</v>
      </c>
      <c r="G24" s="64">
        <v>1</v>
      </c>
      <c r="H24" s="43">
        <v>25</v>
      </c>
      <c r="I24" s="64">
        <v>3677</v>
      </c>
      <c r="J24" s="64">
        <v>0</v>
      </c>
      <c r="K24" s="64">
        <v>14</v>
      </c>
      <c r="L24" s="64">
        <v>8.76</v>
      </c>
      <c r="M24" s="68"/>
      <c r="N24" s="68"/>
      <c r="O24" s="64"/>
      <c r="P24" s="64"/>
      <c r="Q24" s="64"/>
      <c r="R24" s="68"/>
      <c r="S24" s="43"/>
      <c r="V24" s="60" t="s">
        <v>69</v>
      </c>
      <c r="W24" s="60"/>
      <c r="X24" s="61" t="s">
        <v>90</v>
      </c>
      <c r="Y24" s="62" t="s">
        <v>91</v>
      </c>
      <c r="Z24" s="45" t="s">
        <v>58</v>
      </c>
      <c r="AA24" s="45" t="s">
        <v>87</v>
      </c>
      <c r="AB24" s="46" t="s">
        <v>88</v>
      </c>
      <c r="AI24"/>
      <c r="AJ24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</row>
    <row r="25" spans="2:51" s="46" customFormat="1" x14ac:dyDescent="0.25">
      <c r="B25" s="50" t="str">
        <f>X20</f>
        <v>GASBoiler</v>
      </c>
      <c r="C25" s="45"/>
      <c r="D25" s="50" t="s">
        <v>111</v>
      </c>
      <c r="E25" s="43">
        <v>2030</v>
      </c>
      <c r="F25" s="83">
        <v>0.3</v>
      </c>
      <c r="G25" s="64">
        <v>1</v>
      </c>
      <c r="H25" s="43">
        <v>25</v>
      </c>
      <c r="I25" s="64">
        <v>0</v>
      </c>
      <c r="J25" s="64">
        <v>0</v>
      </c>
      <c r="K25" s="64">
        <v>0</v>
      </c>
      <c r="L25" s="64">
        <v>8.76</v>
      </c>
      <c r="M25" s="68"/>
      <c r="N25" s="68"/>
      <c r="O25" s="64"/>
      <c r="P25" s="64"/>
      <c r="Q25" s="64"/>
      <c r="R25" s="68"/>
      <c r="S25" s="43"/>
      <c r="V25" s="60" t="s">
        <v>69</v>
      </c>
      <c r="W25" s="60"/>
      <c r="X25" s="61" t="s">
        <v>135</v>
      </c>
      <c r="Y25" s="62" t="s">
        <v>142</v>
      </c>
      <c r="Z25" s="45" t="s">
        <v>58</v>
      </c>
      <c r="AA25" s="45" t="s">
        <v>87</v>
      </c>
      <c r="AB25" s="46" t="s">
        <v>88</v>
      </c>
      <c r="AI25"/>
      <c r="AJ25"/>
      <c r="AK25" s="45"/>
      <c r="AL25" s="45"/>
      <c r="AM25" s="45"/>
      <c r="AN25" s="45"/>
      <c r="AO25" s="45"/>
      <c r="AP25" s="45"/>
      <c r="AQ25" s="45"/>
      <c r="AR25" s="45"/>
      <c r="AS25" s="45"/>
      <c r="AT25" s="45"/>
      <c r="AU25" s="45"/>
      <c r="AV25" s="45"/>
      <c r="AW25" s="45"/>
    </row>
    <row r="26" spans="2:51" s="46" customFormat="1" x14ac:dyDescent="0.25">
      <c r="B26" s="85" t="str">
        <f>X25</f>
        <v>DECELC</v>
      </c>
      <c r="C26" s="50" t="s">
        <v>138</v>
      </c>
      <c r="D26" s="50" t="s">
        <v>69</v>
      </c>
      <c r="E26" s="43">
        <v>2030</v>
      </c>
      <c r="F26" s="46">
        <v>1</v>
      </c>
      <c r="G26" s="46">
        <v>1</v>
      </c>
      <c r="H26" s="43">
        <v>100</v>
      </c>
      <c r="I26" s="64">
        <v>0</v>
      </c>
      <c r="J26" s="45">
        <v>0</v>
      </c>
      <c r="K26" s="46">
        <v>0</v>
      </c>
      <c r="L26" s="64">
        <v>8.76</v>
      </c>
      <c r="M26" s="68"/>
      <c r="N26" s="68"/>
      <c r="O26" s="64"/>
      <c r="P26" s="64"/>
      <c r="Q26" s="64"/>
      <c r="R26" s="68"/>
      <c r="S26" s="43"/>
      <c r="V26" s="60" t="s">
        <v>69</v>
      </c>
      <c r="W26" s="60"/>
      <c r="X26" s="61" t="s">
        <v>146</v>
      </c>
      <c r="Y26" s="62" t="s">
        <v>145</v>
      </c>
      <c r="Z26" s="45" t="s">
        <v>58</v>
      </c>
      <c r="AA26" s="45" t="s">
        <v>87</v>
      </c>
      <c r="AB26" s="46" t="s">
        <v>88</v>
      </c>
      <c r="AI26"/>
      <c r="AJ26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</row>
    <row r="27" spans="2:51" s="46" customFormat="1" x14ac:dyDescent="0.25">
      <c r="B27" s="85" t="str">
        <f>X25</f>
        <v>DECELC</v>
      </c>
      <c r="C27" s="50" t="s">
        <v>139</v>
      </c>
      <c r="D27" s="50" t="s">
        <v>69</v>
      </c>
      <c r="E27" s="43">
        <v>2030</v>
      </c>
      <c r="F27" s="46">
        <v>1</v>
      </c>
      <c r="G27" s="46">
        <v>1</v>
      </c>
      <c r="H27" s="43">
        <v>100</v>
      </c>
      <c r="I27" s="64">
        <v>0</v>
      </c>
      <c r="J27" s="45">
        <v>0</v>
      </c>
      <c r="K27" s="46">
        <v>0</v>
      </c>
      <c r="L27" s="64">
        <v>8.76</v>
      </c>
      <c r="M27" s="68"/>
      <c r="N27" s="68"/>
      <c r="O27" s="64"/>
      <c r="P27" s="64"/>
      <c r="Q27" s="64"/>
      <c r="R27" s="68"/>
      <c r="S27" s="43"/>
      <c r="V27" s="45"/>
      <c r="W27" s="45"/>
      <c r="X27" s="45"/>
      <c r="Y27" s="45"/>
      <c r="Z27" s="45"/>
      <c r="AA27" s="45"/>
      <c r="AI27"/>
      <c r="AJ27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</row>
    <row r="28" spans="2:51" s="46" customFormat="1" x14ac:dyDescent="0.25">
      <c r="B28" s="50" t="str">
        <f>X26</f>
        <v>BIOPOWER</v>
      </c>
      <c r="C28" s="50" t="s">
        <v>68</v>
      </c>
      <c r="D28" s="50" t="s">
        <v>144</v>
      </c>
      <c r="E28" s="43">
        <v>2030</v>
      </c>
      <c r="F28" s="46">
        <v>0.35</v>
      </c>
      <c r="G28" s="46">
        <v>0.98</v>
      </c>
      <c r="H28" s="43">
        <v>20</v>
      </c>
      <c r="I28" s="86">
        <v>3242</v>
      </c>
      <c r="J28" s="64">
        <v>129.68</v>
      </c>
      <c r="K28" s="64">
        <v>0</v>
      </c>
      <c r="L28" s="64">
        <v>8.76</v>
      </c>
      <c r="M28" s="68"/>
      <c r="N28" s="68"/>
      <c r="O28" s="64"/>
      <c r="P28" s="64"/>
      <c r="Q28" s="64"/>
      <c r="R28" s="68"/>
      <c r="S28" s="43"/>
      <c r="V28" s="45"/>
      <c r="W28" s="45"/>
      <c r="X28" s="45"/>
      <c r="Y28" s="45"/>
      <c r="Z28" s="45"/>
      <c r="AA28" s="45"/>
      <c r="AI28"/>
      <c r="AJ28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5"/>
      <c r="AW28" s="45"/>
    </row>
    <row r="29" spans="2:51" s="46" customFormat="1" x14ac:dyDescent="0.25">
      <c r="B29" s="50" t="s">
        <v>135</v>
      </c>
      <c r="C29" s="45" t="s">
        <v>144</v>
      </c>
      <c r="D29" s="50" t="s">
        <v>69</v>
      </c>
      <c r="E29" s="43">
        <v>2030</v>
      </c>
      <c r="F29" s="83">
        <v>1</v>
      </c>
      <c r="G29" s="64">
        <v>1</v>
      </c>
      <c r="H29" s="46">
        <v>100</v>
      </c>
      <c r="I29" s="46">
        <v>0</v>
      </c>
      <c r="J29" s="46">
        <v>0</v>
      </c>
      <c r="K29" s="46">
        <v>0</v>
      </c>
      <c r="L29" s="46">
        <v>0</v>
      </c>
      <c r="M29" s="68"/>
      <c r="N29" s="68"/>
      <c r="O29" s="64"/>
      <c r="P29" s="64"/>
      <c r="Q29" s="64"/>
      <c r="R29" s="68"/>
      <c r="S29" s="43"/>
      <c r="AI29"/>
      <c r="AJ29"/>
      <c r="AK29" s="45"/>
      <c r="AL29" s="45"/>
      <c r="AM29" s="45"/>
      <c r="AN29" s="45"/>
      <c r="AO29" s="45"/>
      <c r="AP29" s="45"/>
      <c r="AQ29" s="45"/>
      <c r="AR29" s="45"/>
      <c r="AS29" s="45"/>
      <c r="AT29" s="45"/>
      <c r="AU29" s="45"/>
      <c r="AV29" s="45"/>
      <c r="AW29" s="45"/>
    </row>
    <row r="30" spans="2:51" s="46" customFormat="1" x14ac:dyDescent="0.25">
      <c r="B30" s="45"/>
      <c r="C30" s="50"/>
      <c r="D30" s="84"/>
      <c r="E30" s="43"/>
      <c r="F30" s="64"/>
      <c r="G30" s="64"/>
      <c r="H30" s="43"/>
      <c r="I30" s="64"/>
      <c r="J30" s="64"/>
      <c r="K30" s="64"/>
      <c r="L30" s="64"/>
      <c r="M30" s="68"/>
      <c r="N30" s="68"/>
      <c r="O30" s="64"/>
      <c r="P30" s="64"/>
      <c r="Q30" s="64"/>
      <c r="R30" s="68"/>
      <c r="S30" s="43"/>
      <c r="V30" s="45"/>
      <c r="W30" s="45"/>
      <c r="X30" s="45"/>
      <c r="Y30" s="45"/>
      <c r="Z30" s="45"/>
      <c r="AA30" s="45"/>
      <c r="AB30" s="45"/>
      <c r="AC30" s="45"/>
      <c r="AD30" s="45"/>
      <c r="AI30"/>
      <c r="AJ30"/>
      <c r="AK30" s="77"/>
      <c r="AL30" s="77"/>
      <c r="AM30" s="77"/>
      <c r="AN30" s="77"/>
      <c r="AO30" s="77"/>
      <c r="AP30" s="77"/>
      <c r="AQ30" s="77"/>
      <c r="AR30" s="77"/>
      <c r="AS30" s="77"/>
      <c r="AT30" s="77"/>
      <c r="AU30" s="77"/>
      <c r="AV30" s="77"/>
      <c r="AW30" s="77"/>
    </row>
    <row r="31" spans="2:51" s="46" customFormat="1" x14ac:dyDescent="0.25">
      <c r="B31" s="45"/>
      <c r="C31" s="50"/>
      <c r="D31" s="84"/>
      <c r="E31" s="43"/>
      <c r="F31" s="64"/>
      <c r="G31" s="64"/>
      <c r="H31" s="43"/>
      <c r="I31" s="64"/>
      <c r="J31" s="64"/>
      <c r="K31" s="64"/>
      <c r="L31" s="64"/>
      <c r="M31" s="68"/>
      <c r="N31" s="68"/>
      <c r="O31" s="64"/>
      <c r="P31" s="64"/>
      <c r="Q31" s="64"/>
      <c r="R31" s="68"/>
      <c r="S31" s="43"/>
      <c r="V31" s="45"/>
      <c r="W31" s="45"/>
      <c r="X31" s="45"/>
      <c r="Y31" s="45"/>
      <c r="Z31" s="45"/>
      <c r="AA31" s="45"/>
      <c r="AB31" s="45"/>
      <c r="AC31" s="45"/>
      <c r="AD31" s="45"/>
      <c r="AI31"/>
      <c r="AJ31"/>
      <c r="AK31" s="77"/>
      <c r="AL31" s="77"/>
      <c r="AM31" s="77"/>
      <c r="AN31" s="77"/>
      <c r="AO31" s="77"/>
      <c r="AP31" s="77"/>
      <c r="AQ31" s="77"/>
      <c r="AR31" s="77"/>
      <c r="AS31" s="77"/>
      <c r="AT31" s="77"/>
      <c r="AU31" s="77"/>
      <c r="AV31" s="77"/>
      <c r="AW31" s="77"/>
    </row>
    <row r="32" spans="2:51" s="46" customFormat="1" x14ac:dyDescent="0.25">
      <c r="B32" s="45"/>
      <c r="C32" s="50"/>
      <c r="D32" s="84"/>
      <c r="E32" s="43"/>
      <c r="F32" s="64"/>
      <c r="G32" s="64"/>
      <c r="H32" s="43"/>
      <c r="I32" s="64"/>
      <c r="J32" s="64"/>
      <c r="K32" s="64"/>
      <c r="L32" s="64"/>
      <c r="M32" s="68"/>
      <c r="N32" s="68"/>
      <c r="O32" s="64"/>
      <c r="P32" s="64"/>
      <c r="Q32" s="64"/>
      <c r="R32" s="68"/>
      <c r="S32" s="43"/>
      <c r="V32" s="45"/>
      <c r="W32" s="45"/>
      <c r="X32" s="45"/>
      <c r="Y32" s="45"/>
      <c r="Z32" s="45"/>
      <c r="AA32" s="45"/>
      <c r="AB32" s="45"/>
      <c r="AC32" s="45"/>
      <c r="AD32" s="45"/>
      <c r="AI32"/>
      <c r="AJ32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5"/>
      <c r="AW32" s="45"/>
    </row>
    <row r="33" spans="1:48" s="46" customFormat="1" x14ac:dyDescent="0.25">
      <c r="B33" s="50"/>
      <c r="C33" s="50"/>
      <c r="D33" s="50"/>
      <c r="E33" s="43"/>
      <c r="F33" s="64"/>
      <c r="G33" s="64"/>
      <c r="H33" s="43"/>
      <c r="I33" s="64"/>
      <c r="J33" s="64"/>
      <c r="K33" s="64"/>
      <c r="L33" s="64"/>
      <c r="M33" s="68"/>
      <c r="N33" s="68"/>
      <c r="O33" s="64"/>
      <c r="P33" s="64"/>
      <c r="Q33" s="64"/>
      <c r="R33" s="68"/>
      <c r="S33" s="43"/>
      <c r="V33" s="45"/>
      <c r="W33" s="45"/>
      <c r="X33" s="45"/>
      <c r="Y33" s="45"/>
      <c r="Z33" s="45"/>
      <c r="AA33" s="45"/>
      <c r="AB33" s="45"/>
      <c r="AC33" s="45"/>
      <c r="AD33" s="45"/>
      <c r="AI33"/>
      <c r="AJ33"/>
      <c r="AK33" s="39"/>
      <c r="AL33" s="39"/>
      <c r="AM33" s="45"/>
      <c r="AN33" s="45"/>
      <c r="AO33" s="45"/>
      <c r="AQ33"/>
      <c r="AR33"/>
      <c r="AS33" s="39"/>
      <c r="AT33" s="39"/>
      <c r="AU33" s="45"/>
      <c r="AV33" s="45"/>
    </row>
    <row r="34" spans="1:48" s="46" customFormat="1" x14ac:dyDescent="0.25">
      <c r="B34" s="50"/>
      <c r="C34" s="50"/>
      <c r="D34" s="50"/>
      <c r="E34" s="43"/>
      <c r="H34" s="43"/>
      <c r="I34" s="64"/>
      <c r="J34" s="45"/>
      <c r="L34" s="64"/>
      <c r="M34" s="68"/>
      <c r="N34" s="68"/>
      <c r="O34" s="64"/>
      <c r="P34" s="64"/>
      <c r="Q34" s="64"/>
      <c r="R34" s="68"/>
      <c r="S34" s="43"/>
      <c r="V34" s="45"/>
      <c r="W34" s="45"/>
      <c r="X34" s="45"/>
      <c r="Y34" s="45"/>
      <c r="Z34" s="45"/>
      <c r="AA34" s="45"/>
      <c r="AB34" s="45"/>
      <c r="AC34" s="45"/>
      <c r="AD34" s="45"/>
      <c r="AI34"/>
      <c r="AJ34"/>
      <c r="AK34" s="39"/>
      <c r="AL34" s="39"/>
      <c r="AM34" s="45"/>
      <c r="AN34" s="45"/>
      <c r="AO34" s="45"/>
      <c r="AQ34"/>
      <c r="AR34"/>
      <c r="AS34" s="39"/>
      <c r="AT34" s="39"/>
      <c r="AU34" s="45"/>
      <c r="AV34" s="45"/>
    </row>
    <row r="35" spans="1:48" s="46" customFormat="1" x14ac:dyDescent="0.25">
      <c r="B35" s="50"/>
      <c r="C35" s="50"/>
      <c r="D35" s="50"/>
      <c r="E35" s="43"/>
      <c r="H35" s="43"/>
      <c r="I35" s="64"/>
      <c r="J35" s="45"/>
      <c r="L35" s="64"/>
      <c r="M35" s="43"/>
      <c r="N35" s="68"/>
      <c r="O35" s="43"/>
      <c r="P35" s="43"/>
      <c r="Q35" s="43"/>
      <c r="R35" s="43"/>
      <c r="S35" s="43"/>
      <c r="V35" s="38"/>
      <c r="W35" s="38"/>
      <c r="X35" s="39"/>
      <c r="Y35" s="40"/>
      <c r="Z35" s="38"/>
      <c r="AA35" s="38"/>
      <c r="AB35" s="38"/>
      <c r="AC35" s="45"/>
      <c r="AD35" s="45"/>
      <c r="AI35"/>
      <c r="AJ35"/>
      <c r="AK35" s="39"/>
      <c r="AL35" s="39"/>
      <c r="AM35" s="45"/>
      <c r="AN35" s="45"/>
      <c r="AO35" s="45"/>
      <c r="AQ35"/>
      <c r="AR35"/>
      <c r="AS35" s="39"/>
      <c r="AT35" s="39"/>
      <c r="AU35" s="45"/>
      <c r="AV35" s="45"/>
    </row>
    <row r="36" spans="1:48" s="46" customFormat="1" x14ac:dyDescent="0.25">
      <c r="B36" s="45"/>
      <c r="C36" s="50"/>
      <c r="D36" s="50"/>
      <c r="E36" s="64"/>
      <c r="F36" s="65"/>
      <c r="K36" s="45"/>
      <c r="N36" s="65"/>
      <c r="V36" s="38"/>
      <c r="W36" s="38"/>
      <c r="X36" s="39"/>
      <c r="Y36" s="40"/>
      <c r="Z36" s="38"/>
      <c r="AA36" s="38"/>
      <c r="AB36" s="38"/>
      <c r="AC36" s="45"/>
      <c r="AD36" s="45"/>
      <c r="AI36"/>
      <c r="AJ36"/>
      <c r="AK36" s="39"/>
      <c r="AL36" s="39"/>
      <c r="AM36" s="45"/>
      <c r="AN36" s="45"/>
      <c r="AO36" s="45"/>
      <c r="AQ36"/>
      <c r="AR36"/>
      <c r="AS36" s="39"/>
      <c r="AT36" s="39"/>
      <c r="AU36" s="45"/>
      <c r="AV36" s="45"/>
    </row>
    <row r="37" spans="1:48" s="46" customFormat="1" x14ac:dyDescent="0.25">
      <c r="B37" s="50"/>
      <c r="C37" s="50"/>
      <c r="D37" s="50"/>
      <c r="E37" s="64"/>
      <c r="F37" s="65"/>
      <c r="J37" s="66"/>
      <c r="K37" s="45"/>
      <c r="N37" s="65"/>
      <c r="V37" s="45"/>
      <c r="W37" s="45"/>
      <c r="X37" s="45"/>
      <c r="Y37" s="45"/>
      <c r="Z37" s="50"/>
      <c r="AA37" s="50"/>
      <c r="AB37" s="63"/>
      <c r="AC37" s="45"/>
      <c r="AD37" s="45"/>
      <c r="AI37"/>
      <c r="AJ37"/>
      <c r="AK37" s="39"/>
      <c r="AL37" s="39"/>
      <c r="AM37" s="45"/>
      <c r="AN37" s="45"/>
      <c r="AO37" s="45"/>
      <c r="AQ37"/>
      <c r="AR37"/>
      <c r="AS37" s="39"/>
      <c r="AT37" s="39"/>
      <c r="AU37" s="45"/>
      <c r="AV37" s="45"/>
    </row>
    <row r="38" spans="1:48" s="46" customFormat="1" x14ac:dyDescent="0.25">
      <c r="B38" s="50"/>
      <c r="C38" s="45"/>
      <c r="D38" s="50"/>
      <c r="E38" s="64"/>
      <c r="F38" s="67"/>
      <c r="G38" s="45"/>
      <c r="H38" s="45"/>
      <c r="I38" s="45"/>
      <c r="J38" s="68"/>
      <c r="K38" s="45"/>
      <c r="V38" s="45"/>
      <c r="X38" s="45"/>
      <c r="Z38" s="54"/>
      <c r="AA38" s="54"/>
      <c r="AB38" s="45"/>
      <c r="AC38" s="45"/>
      <c r="AD38" s="45"/>
      <c r="AI38"/>
      <c r="AJ38"/>
      <c r="AK38" s="39"/>
      <c r="AL38" s="39"/>
      <c r="AM38" s="45"/>
      <c r="AN38" s="45"/>
      <c r="AO38" s="45"/>
      <c r="AQ38"/>
      <c r="AR38"/>
      <c r="AS38" s="39"/>
      <c r="AT38" s="39"/>
      <c r="AU38" s="45"/>
      <c r="AV38" s="45"/>
    </row>
    <row r="39" spans="1:48" s="46" customFormat="1" x14ac:dyDescent="0.25">
      <c r="B39" s="45"/>
      <c r="C39" s="45"/>
      <c r="D39" s="45"/>
      <c r="E39" s="64"/>
      <c r="F39" s="67"/>
      <c r="G39" s="45"/>
      <c r="H39" s="45"/>
      <c r="I39" s="45"/>
      <c r="J39" s="68"/>
      <c r="K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I39"/>
      <c r="AJ39"/>
      <c r="AK39" s="39"/>
      <c r="AL39" s="39"/>
      <c r="AM39" s="45"/>
      <c r="AN39" s="45"/>
      <c r="AO39" s="45"/>
      <c r="AQ39"/>
      <c r="AR39"/>
      <c r="AS39" s="39"/>
      <c r="AT39" s="39"/>
      <c r="AU39" s="45"/>
      <c r="AV39" s="45"/>
    </row>
    <row r="40" spans="1:48" x14ac:dyDescent="0.25">
      <c r="A40" s="46"/>
      <c r="F40" s="67"/>
      <c r="G40" s="43"/>
      <c r="H40" s="69"/>
      <c r="M40" s="46"/>
      <c r="N40" s="46"/>
      <c r="O40" s="46"/>
      <c r="P40" s="46"/>
      <c r="Q40" s="46"/>
      <c r="R40" s="46"/>
      <c r="S40" s="46"/>
      <c r="AI40"/>
      <c r="AJ40"/>
      <c r="AK40" s="39"/>
      <c r="AL40" s="39"/>
      <c r="AP40" s="46"/>
      <c r="AQ40"/>
      <c r="AR40"/>
      <c r="AS40" s="39"/>
      <c r="AT40" s="39"/>
    </row>
    <row r="41" spans="1:48" x14ac:dyDescent="0.25">
      <c r="A41" s="46"/>
      <c r="H41" s="69"/>
      <c r="M41" s="46"/>
      <c r="N41" s="46"/>
      <c r="O41" s="46"/>
      <c r="P41" s="46"/>
      <c r="Q41" s="46"/>
      <c r="R41" s="46"/>
      <c r="S41" s="46"/>
      <c r="AI41"/>
      <c r="AJ41"/>
      <c r="AK41" s="39"/>
      <c r="AL41" s="39"/>
      <c r="AP41" s="46"/>
      <c r="AQ41"/>
      <c r="AR41"/>
      <c r="AS41" s="39"/>
      <c r="AT41" s="39"/>
    </row>
    <row r="42" spans="1:48" x14ac:dyDescent="0.25">
      <c r="B42" s="70"/>
      <c r="C42" s="45" t="s">
        <v>82</v>
      </c>
      <c r="H42" s="69"/>
      <c r="AI42"/>
      <c r="AJ42"/>
      <c r="AK42" s="39"/>
      <c r="AL42" s="39"/>
      <c r="AQ42"/>
      <c r="AR42"/>
      <c r="AS42" s="39"/>
      <c r="AT42" s="39"/>
    </row>
    <row r="43" spans="1:48" x14ac:dyDescent="0.25">
      <c r="B43" s="71"/>
      <c r="C43" s="45" t="s">
        <v>83</v>
      </c>
      <c r="H43" s="69"/>
      <c r="AI43"/>
      <c r="AJ43"/>
      <c r="AK43" s="39"/>
      <c r="AL43" s="39"/>
      <c r="AQ43"/>
      <c r="AR43"/>
      <c r="AS43" s="39"/>
      <c r="AT43" s="39"/>
    </row>
    <row r="44" spans="1:48" x14ac:dyDescent="0.25">
      <c r="H44" s="69"/>
      <c r="AI44"/>
      <c r="AJ44"/>
      <c r="AK44" s="39"/>
      <c r="AL44" s="39"/>
      <c r="AQ44"/>
      <c r="AR44"/>
      <c r="AS44" s="39"/>
      <c r="AT44" s="39"/>
    </row>
    <row r="45" spans="1:48" x14ac:dyDescent="0.25">
      <c r="AI45"/>
      <c r="AJ45"/>
      <c r="AK45" s="39"/>
      <c r="AL45" s="39"/>
      <c r="AQ45"/>
      <c r="AR45"/>
      <c r="AS45" s="39"/>
      <c r="AT45" s="39"/>
    </row>
    <row r="46" spans="1:48" x14ac:dyDescent="0.25">
      <c r="AI46"/>
      <c r="AJ46"/>
      <c r="AK46" s="39"/>
      <c r="AL46" s="39"/>
      <c r="AQ46"/>
      <c r="AR46"/>
      <c r="AS46" s="39"/>
      <c r="AT46" s="39"/>
    </row>
    <row r="47" spans="1:48" x14ac:dyDescent="0.25">
      <c r="E47" s="43"/>
      <c r="AI47"/>
      <c r="AJ47"/>
      <c r="AK47" s="39"/>
      <c r="AL47" s="39"/>
      <c r="AQ47"/>
      <c r="AR47"/>
      <c r="AS47" s="39"/>
      <c r="AT47" s="39"/>
    </row>
    <row r="48" spans="1:48" x14ac:dyDescent="0.25"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AI50"/>
      <c r="AJ50"/>
      <c r="AK50" s="39"/>
      <c r="AL50" s="39"/>
      <c r="AQ50"/>
      <c r="AR50"/>
      <c r="AS50" s="39"/>
      <c r="AT50" s="39"/>
    </row>
    <row r="51" spans="2:46" x14ac:dyDescent="0.25">
      <c r="AI51"/>
      <c r="AJ51"/>
      <c r="AK51" s="39"/>
      <c r="AL51" s="39"/>
      <c r="AQ51"/>
      <c r="AR51"/>
      <c r="AS51" s="39"/>
      <c r="AT51" s="39"/>
    </row>
    <row r="52" spans="2:46" x14ac:dyDescent="0.25">
      <c r="AI52"/>
      <c r="AJ52"/>
      <c r="AK52" s="39"/>
      <c r="AL52" s="39"/>
      <c r="AQ52"/>
      <c r="AR52"/>
      <c r="AS52" s="39"/>
      <c r="AT52" s="39"/>
    </row>
    <row r="53" spans="2:46" x14ac:dyDescent="0.25">
      <c r="AI53"/>
      <c r="AJ53"/>
      <c r="AK53" s="39"/>
      <c r="AL53" s="39"/>
      <c r="AQ53"/>
      <c r="AR53"/>
      <c r="AS53" s="39"/>
      <c r="AT53" s="39"/>
    </row>
    <row r="54" spans="2:46" x14ac:dyDescent="0.25">
      <c r="B54" s="73"/>
      <c r="C54" s="73"/>
      <c r="D54"/>
      <c r="E54"/>
      <c r="F54"/>
      <c r="G54"/>
      <c r="H54"/>
      <c r="I54"/>
      <c r="J54"/>
      <c r="K54"/>
      <c r="L54"/>
      <c r="AI54"/>
      <c r="AJ54"/>
      <c r="AK54" s="39"/>
      <c r="AL54" s="39"/>
      <c r="AQ54"/>
      <c r="AR54"/>
      <c r="AS54" s="39"/>
      <c r="AT54" s="39"/>
    </row>
    <row r="55" spans="2:46" ht="13.8" thickBot="1" x14ac:dyDescent="0.3"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AI55"/>
      <c r="AJ55"/>
      <c r="AK55" s="39"/>
      <c r="AL55" s="39"/>
      <c r="AQ55"/>
      <c r="AR55"/>
      <c r="AS55" s="39"/>
      <c r="AT55" s="39"/>
    </row>
    <row r="56" spans="2:46" x14ac:dyDescent="0.25">
      <c r="B56"/>
      <c r="C56"/>
      <c r="D56"/>
      <c r="E56" s="1"/>
      <c r="F56"/>
      <c r="G56"/>
      <c r="H56"/>
      <c r="I56"/>
      <c r="J56"/>
      <c r="K56"/>
      <c r="L56"/>
      <c r="AI56"/>
      <c r="AJ56"/>
      <c r="AK56" s="39"/>
      <c r="AL56" s="39"/>
      <c r="AQ56"/>
      <c r="AR56"/>
      <c r="AS56" s="39"/>
      <c r="AT56" s="39"/>
    </row>
    <row r="57" spans="2:46" x14ac:dyDescent="0.25">
      <c r="B57"/>
      <c r="C57"/>
      <c r="D57"/>
      <c r="E57" s="1"/>
      <c r="F57"/>
      <c r="G57"/>
      <c r="H57"/>
      <c r="I57"/>
      <c r="J57"/>
      <c r="K57"/>
      <c r="L57"/>
      <c r="AI57"/>
      <c r="AJ57"/>
      <c r="AK57" s="39"/>
      <c r="AL57" s="39"/>
      <c r="AQ57"/>
      <c r="AR57"/>
      <c r="AS57" s="39"/>
      <c r="AT57" s="39"/>
    </row>
    <row r="58" spans="2:46" x14ac:dyDescent="0.25">
      <c r="B58"/>
      <c r="C58"/>
      <c r="D58"/>
      <c r="E58" s="1"/>
      <c r="F58"/>
      <c r="G58"/>
      <c r="H58"/>
      <c r="I58"/>
      <c r="J58"/>
      <c r="K58"/>
      <c r="L58"/>
      <c r="AI58"/>
      <c r="AJ58"/>
      <c r="AK58" s="39"/>
      <c r="AL58" s="39"/>
      <c r="AQ58"/>
      <c r="AR58"/>
      <c r="AS58" s="39"/>
      <c r="AT58" s="39"/>
    </row>
    <row r="59" spans="2:46" x14ac:dyDescent="0.25">
      <c r="B59"/>
      <c r="C59"/>
      <c r="D59"/>
      <c r="E59" s="1"/>
      <c r="F59"/>
      <c r="G59"/>
      <c r="H59"/>
      <c r="I59"/>
      <c r="J59"/>
      <c r="K59"/>
      <c r="L59"/>
      <c r="AI59"/>
      <c r="AJ59"/>
      <c r="AK59" s="39"/>
      <c r="AL59" s="39"/>
      <c r="AQ59"/>
      <c r="AR59"/>
      <c r="AS59" s="39"/>
      <c r="AT59" s="39"/>
    </row>
    <row r="60" spans="2:46" x14ac:dyDescent="0.25">
      <c r="B60"/>
      <c r="C60"/>
      <c r="D60"/>
      <c r="E60" s="1"/>
      <c r="F60"/>
      <c r="G60"/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/>
      <c r="C61"/>
      <c r="D61"/>
      <c r="E61" s="1"/>
      <c r="F61"/>
      <c r="G61"/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B62"/>
      <c r="C62"/>
      <c r="D62"/>
      <c r="E62" s="1"/>
      <c r="F62"/>
      <c r="G62"/>
      <c r="H62"/>
      <c r="I62"/>
      <c r="J62"/>
      <c r="K62"/>
      <c r="L62"/>
      <c r="AI62"/>
      <c r="AJ62"/>
      <c r="AK62" s="39"/>
      <c r="AL62" s="39"/>
      <c r="AQ62"/>
      <c r="AR62"/>
      <c r="AS62" s="39"/>
      <c r="AT62" s="39"/>
    </row>
    <row r="63" spans="2:46" x14ac:dyDescent="0.25">
      <c r="B63"/>
      <c r="C63"/>
      <c r="D63"/>
      <c r="E63" s="1"/>
      <c r="F63"/>
      <c r="G63"/>
      <c r="H63"/>
      <c r="I63"/>
      <c r="J63"/>
      <c r="K63"/>
      <c r="L63"/>
      <c r="AI63"/>
      <c r="AJ63"/>
      <c r="AK63" s="39"/>
      <c r="AL63" s="39"/>
      <c r="AQ63"/>
      <c r="AR63"/>
      <c r="AS63" s="39"/>
      <c r="AT63" s="39"/>
    </row>
    <row r="64" spans="2:46" x14ac:dyDescent="0.25">
      <c r="AI64"/>
      <c r="AJ64"/>
      <c r="AK64" s="39"/>
      <c r="AL64" s="39"/>
      <c r="AQ64"/>
      <c r="AR64"/>
      <c r="AS64" s="39"/>
      <c r="AT64" s="39"/>
    </row>
    <row r="65" spans="1:48" x14ac:dyDescent="0.25">
      <c r="AI65"/>
      <c r="AJ65"/>
      <c r="AK65" s="39"/>
      <c r="AL65" s="39"/>
      <c r="AQ65"/>
      <c r="AR65"/>
      <c r="AS65" s="39"/>
      <c r="AT65" s="39"/>
    </row>
    <row r="66" spans="1:48" x14ac:dyDescent="0.25">
      <c r="AI66"/>
      <c r="AJ66"/>
      <c r="AK66" s="39"/>
      <c r="AL66" s="39"/>
      <c r="AQ66"/>
      <c r="AR66"/>
      <c r="AS66" s="39"/>
      <c r="AT66" s="39"/>
    </row>
    <row r="67" spans="1:48" x14ac:dyDescent="0.25">
      <c r="AI67"/>
      <c r="AJ67"/>
      <c r="AK67" s="39"/>
      <c r="AL67" s="39"/>
      <c r="AQ67"/>
      <c r="AR67"/>
      <c r="AS67" s="39"/>
      <c r="AT67" s="39"/>
    </row>
    <row r="68" spans="1:48" x14ac:dyDescent="0.25">
      <c r="V68" s="46"/>
      <c r="W68" s="46"/>
      <c r="X68" s="46"/>
      <c r="Y68" s="46"/>
      <c r="Z68" s="46"/>
      <c r="AA68" s="46"/>
      <c r="AB68" s="46"/>
      <c r="AC68" s="46"/>
      <c r="AD68" s="46"/>
      <c r="AI68"/>
      <c r="AJ68"/>
      <c r="AK68" s="39"/>
      <c r="AL68" s="39"/>
      <c r="AQ68"/>
      <c r="AR68"/>
      <c r="AS68" s="39"/>
      <c r="AT68" s="39"/>
    </row>
    <row r="69" spans="1:48" x14ac:dyDescent="0.25">
      <c r="B69"/>
      <c r="C69"/>
      <c r="E69" s="73"/>
      <c r="F69" s="73"/>
      <c r="G69" s="1"/>
      <c r="H69"/>
      <c r="I69" s="73"/>
      <c r="J69"/>
      <c r="K69"/>
      <c r="L69" s="73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I69"/>
      <c r="AJ69"/>
      <c r="AK69" s="39"/>
      <c r="AL69" s="39"/>
      <c r="AQ69"/>
      <c r="AR69"/>
      <c r="AS69" s="39"/>
      <c r="AT69" s="39"/>
    </row>
    <row r="70" spans="1:48" s="46" customFormat="1" x14ac:dyDescent="0.25">
      <c r="A70" s="45"/>
      <c r="B70" s="79"/>
      <c r="C70" s="79"/>
      <c r="D70" s="79"/>
      <c r="E70" s="79"/>
      <c r="F70" s="79"/>
      <c r="G70" s="79"/>
      <c r="H70" s="80"/>
      <c r="I70" s="79"/>
      <c r="J70" s="79"/>
      <c r="K70" s="79"/>
      <c r="L70" s="79"/>
      <c r="M70" s="45"/>
      <c r="N70" s="45"/>
      <c r="O70" s="45"/>
      <c r="P70" s="45"/>
      <c r="Q70" s="45"/>
      <c r="R70" s="45"/>
      <c r="S70" s="45"/>
      <c r="AI70"/>
      <c r="AJ70" s="80"/>
      <c r="AK70" s="39"/>
      <c r="AL70" s="41"/>
      <c r="AM70" s="45"/>
      <c r="AN70" s="45"/>
      <c r="AQ70"/>
      <c r="AR70" s="80"/>
      <c r="AS70" s="39"/>
      <c r="AT70" s="41"/>
      <c r="AU70" s="45"/>
      <c r="AV70" s="45"/>
    </row>
    <row r="71" spans="1:48" s="46" customFormat="1" x14ac:dyDescent="0.25">
      <c r="A71" s="73"/>
      <c r="B71" s="81"/>
      <c r="C71" s="82"/>
      <c r="D71" s="81"/>
      <c r="E71" s="81"/>
      <c r="F71" s="81"/>
      <c r="G71" s="81"/>
      <c r="H71" s="80"/>
      <c r="I71" s="81"/>
      <c r="J71" s="81"/>
      <c r="K71" s="82"/>
      <c r="L71" s="82"/>
      <c r="M71" s="73"/>
      <c r="N71" s="73"/>
      <c r="O71" s="1"/>
      <c r="P71" s="45"/>
      <c r="Q71" s="45"/>
      <c r="R71" s="45"/>
      <c r="S71" s="45"/>
      <c r="V71" s="45"/>
      <c r="W71" s="45"/>
      <c r="X71" s="45"/>
      <c r="Y71" s="45"/>
      <c r="Z71" s="45"/>
      <c r="AA71" s="45"/>
      <c r="AB71" s="45"/>
      <c r="AC71" s="45"/>
      <c r="AD71" s="45"/>
      <c r="AI71" s="42"/>
      <c r="AJ71" s="42"/>
      <c r="AK71" s="54"/>
    </row>
    <row r="72" spans="1:48" s="46" customFormat="1" x14ac:dyDescent="0.25">
      <c r="A72" s="79"/>
      <c r="B72" s="81"/>
      <c r="C72" s="81"/>
      <c r="D72" s="81"/>
      <c r="E72" s="81"/>
      <c r="F72" s="81"/>
      <c r="G72" s="81"/>
      <c r="H72" s="80"/>
      <c r="I72" s="81"/>
      <c r="J72" s="81"/>
      <c r="K72" s="81"/>
      <c r="L72" s="81"/>
      <c r="M72" s="79"/>
      <c r="N72" s="79"/>
      <c r="O72" s="79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I72" s="42"/>
      <c r="AJ72" s="42"/>
      <c r="AK72" s="54"/>
    </row>
    <row r="73" spans="1:48" x14ac:dyDescent="0.25">
      <c r="A73" s="81"/>
      <c r="B73"/>
      <c r="C73" s="39"/>
      <c r="D73" s="39"/>
      <c r="H73"/>
      <c r="I73"/>
      <c r="J73"/>
      <c r="K73" s="39"/>
      <c r="L73" s="39"/>
      <c r="M73" s="82"/>
      <c r="N73" s="82"/>
      <c r="O73" s="81"/>
      <c r="P73" s="46"/>
      <c r="Q73" s="46"/>
      <c r="R73" s="46"/>
      <c r="S73" s="46"/>
      <c r="AI73" s="38"/>
      <c r="AJ73" s="38"/>
      <c r="AK73" s="50"/>
    </row>
    <row r="74" spans="1:48" x14ac:dyDescent="0.25">
      <c r="A74" s="81"/>
      <c r="B74"/>
      <c r="C74" s="39"/>
      <c r="D74" s="39"/>
      <c r="H74" s="78"/>
      <c r="I74"/>
      <c r="J74"/>
      <c r="K74" s="39"/>
      <c r="L74" s="39"/>
      <c r="M74" s="81"/>
      <c r="N74" s="81"/>
      <c r="O74" s="81"/>
      <c r="P74" s="46"/>
      <c r="Q74" s="46"/>
      <c r="R74" s="46"/>
      <c r="S74" s="46"/>
      <c r="AI74" s="38"/>
      <c r="AJ74" s="38"/>
      <c r="AK74" s="50"/>
    </row>
    <row r="75" spans="1:48" x14ac:dyDescent="0.25">
      <c r="A75"/>
      <c r="B75"/>
      <c r="C75" s="39"/>
      <c r="D75" s="39"/>
      <c r="I75"/>
      <c r="J75"/>
      <c r="K75" s="39"/>
      <c r="L75" s="39"/>
      <c r="AI75" s="38"/>
      <c r="AJ75" s="38"/>
      <c r="AK75" s="50"/>
    </row>
    <row r="76" spans="1:48" x14ac:dyDescent="0.25">
      <c r="A76"/>
      <c r="B76"/>
      <c r="C76" s="39"/>
      <c r="D76" s="39"/>
      <c r="I76"/>
      <c r="J76"/>
      <c r="K76" s="39"/>
      <c r="L76" s="39"/>
      <c r="AI76" s="38"/>
      <c r="AJ76" s="38"/>
      <c r="AK76" s="50"/>
    </row>
    <row r="77" spans="1:48" x14ac:dyDescent="0.25">
      <c r="A77"/>
      <c r="B77"/>
      <c r="C77" s="39"/>
      <c r="D77" s="39"/>
      <c r="H77" s="46"/>
      <c r="I77"/>
      <c r="J77"/>
      <c r="K77" s="39"/>
      <c r="L77" s="39"/>
      <c r="O77" s="46"/>
      <c r="AI77" s="38"/>
      <c r="AJ77" s="38"/>
      <c r="AK77" s="50"/>
    </row>
    <row r="78" spans="1:48" x14ac:dyDescent="0.25">
      <c r="A78"/>
      <c r="B78"/>
      <c r="C78" s="39"/>
      <c r="D78" s="39"/>
      <c r="H78" s="46"/>
      <c r="I78"/>
      <c r="J78"/>
      <c r="K78" s="39"/>
      <c r="L78" s="39"/>
      <c r="O78" s="46"/>
      <c r="AI78" s="38"/>
      <c r="AJ78" s="38"/>
      <c r="AK78" s="50"/>
    </row>
    <row r="79" spans="1:48" x14ac:dyDescent="0.25">
      <c r="A79"/>
      <c r="B79"/>
      <c r="C79" s="39"/>
      <c r="D79" s="39"/>
      <c r="H79" s="46"/>
      <c r="I79"/>
      <c r="J79"/>
      <c r="K79" s="39"/>
      <c r="L79" s="39"/>
      <c r="O79" s="46"/>
      <c r="AI79" s="38"/>
      <c r="AJ79" s="38"/>
      <c r="AK79" s="50"/>
    </row>
    <row r="80" spans="1:48" x14ac:dyDescent="0.25">
      <c r="A80"/>
      <c r="B80"/>
      <c r="C80" s="39"/>
      <c r="D80" s="39"/>
      <c r="H80" s="46"/>
      <c r="I80"/>
      <c r="J80"/>
      <c r="K80" s="39"/>
      <c r="L80" s="39"/>
      <c r="O80" s="46"/>
      <c r="AI80" s="38"/>
      <c r="AJ80" s="38"/>
      <c r="AK80" s="50"/>
    </row>
    <row r="81" spans="1:37" x14ac:dyDescent="0.25">
      <c r="A81"/>
      <c r="B81"/>
      <c r="C81" s="39"/>
      <c r="D81" s="39"/>
      <c r="H81" s="46"/>
      <c r="I81"/>
      <c r="J81"/>
      <c r="K81" s="39"/>
      <c r="L81" s="39"/>
      <c r="O81" s="46"/>
      <c r="AI81" s="38"/>
      <c r="AJ81" s="38"/>
      <c r="AK81" s="50"/>
    </row>
    <row r="82" spans="1:37" x14ac:dyDescent="0.25">
      <c r="A82"/>
      <c r="B82"/>
      <c r="C82" s="39"/>
      <c r="D82" s="39"/>
      <c r="H82" s="46"/>
      <c r="I82"/>
      <c r="J82"/>
      <c r="K82" s="39"/>
      <c r="L82" s="39"/>
      <c r="O82" s="46"/>
      <c r="AI82" s="38"/>
      <c r="AJ82" s="38"/>
      <c r="AK82" s="50"/>
    </row>
    <row r="83" spans="1:37" x14ac:dyDescent="0.25">
      <c r="A83"/>
      <c r="B83"/>
      <c r="C83" s="39"/>
      <c r="D83" s="39"/>
      <c r="H83" s="46"/>
      <c r="I83"/>
      <c r="J83"/>
      <c r="K83" s="39"/>
      <c r="L83" s="39"/>
      <c r="O83" s="46"/>
      <c r="AI83" s="38"/>
      <c r="AJ83" s="38"/>
      <c r="AK83" s="50"/>
    </row>
    <row r="84" spans="1:37" x14ac:dyDescent="0.25">
      <c r="A84"/>
      <c r="B84"/>
      <c r="C84" s="39"/>
      <c r="D84" s="39"/>
      <c r="H84" s="46"/>
      <c r="I84"/>
      <c r="J84"/>
      <c r="K84" s="39"/>
      <c r="L84" s="39"/>
      <c r="O84" s="46"/>
      <c r="AI84" s="38"/>
      <c r="AJ84" s="38"/>
      <c r="AK84" s="50"/>
    </row>
    <row r="85" spans="1:37" x14ac:dyDescent="0.25">
      <c r="A85"/>
      <c r="B85"/>
      <c r="C85" s="39"/>
      <c r="D85" s="39"/>
      <c r="H85" s="46"/>
      <c r="I85"/>
      <c r="J85"/>
      <c r="K85" s="39"/>
      <c r="L85" s="39"/>
      <c r="O85" s="46"/>
      <c r="AI85" s="38"/>
      <c r="AJ85" s="38"/>
      <c r="AK85" s="50"/>
    </row>
    <row r="86" spans="1:37" x14ac:dyDescent="0.25">
      <c r="A86"/>
      <c r="B86"/>
      <c r="C86" s="39"/>
      <c r="D86" s="39"/>
      <c r="H86" s="46"/>
      <c r="I86"/>
      <c r="J86"/>
      <c r="K86" s="39"/>
      <c r="L86" s="39"/>
      <c r="O86" s="46"/>
      <c r="AI86" s="38"/>
      <c r="AJ86" s="38"/>
      <c r="AK86" s="50"/>
    </row>
    <row r="87" spans="1:37" x14ac:dyDescent="0.25">
      <c r="A87"/>
      <c r="B87"/>
      <c r="C87" s="39"/>
      <c r="D87" s="39"/>
      <c r="H87" s="46"/>
      <c r="I87"/>
      <c r="J87"/>
      <c r="K87" s="39"/>
      <c r="L87" s="39"/>
      <c r="O87" s="46"/>
      <c r="AI87" s="38"/>
      <c r="AJ87" s="38"/>
      <c r="AK87" s="50"/>
    </row>
    <row r="88" spans="1:37" x14ac:dyDescent="0.25">
      <c r="A88"/>
      <c r="B88"/>
      <c r="C88" s="39"/>
      <c r="D88" s="39"/>
      <c r="H88" s="46"/>
      <c r="I88"/>
      <c r="J88"/>
      <c r="K88" s="39"/>
      <c r="L88" s="39"/>
      <c r="O88" s="46"/>
      <c r="AI88" s="38"/>
      <c r="AJ88" s="38"/>
      <c r="AK88" s="50"/>
    </row>
    <row r="89" spans="1:37" x14ac:dyDescent="0.25">
      <c r="A89"/>
      <c r="B89"/>
      <c r="C89" s="39"/>
      <c r="D89" s="39"/>
      <c r="H89" s="46"/>
      <c r="I89"/>
      <c r="J89"/>
      <c r="K89" s="39"/>
      <c r="L89" s="39"/>
      <c r="O89" s="46"/>
      <c r="AI89" s="38"/>
      <c r="AJ89" s="38"/>
      <c r="AK89" s="50"/>
    </row>
    <row r="90" spans="1:37" x14ac:dyDescent="0.25">
      <c r="A90"/>
      <c r="B90"/>
      <c r="C90" s="39"/>
      <c r="D90" s="39"/>
      <c r="H90" s="46"/>
      <c r="I90"/>
      <c r="J90"/>
      <c r="K90" s="39"/>
      <c r="L90" s="39"/>
      <c r="O90" s="46"/>
      <c r="AI90" s="38"/>
      <c r="AJ90" s="38"/>
      <c r="AK90" s="50"/>
    </row>
    <row r="91" spans="1:37" x14ac:dyDescent="0.25">
      <c r="A91"/>
      <c r="B91"/>
      <c r="C91" s="39"/>
      <c r="D91" s="39"/>
      <c r="H91" s="46"/>
      <c r="I91"/>
      <c r="J91"/>
      <c r="K91" s="39"/>
      <c r="L91" s="39"/>
      <c r="O91" s="46"/>
      <c r="AI91" s="38"/>
      <c r="AJ91" s="38"/>
      <c r="AK91" s="50"/>
    </row>
    <row r="92" spans="1:37" x14ac:dyDescent="0.25">
      <c r="A92"/>
      <c r="B92"/>
      <c r="C92" s="39"/>
      <c r="D92" s="39"/>
      <c r="I92"/>
      <c r="J92"/>
      <c r="K92" s="39"/>
      <c r="L92" s="39"/>
      <c r="AI92" s="38"/>
      <c r="AJ92" s="38"/>
      <c r="AK92" s="50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0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0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0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0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0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0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0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0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0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0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0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0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0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0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0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0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0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0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0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0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0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0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0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0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0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0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0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0"/>
    </row>
    <row r="121" spans="1:37" x14ac:dyDescent="0.25">
      <c r="A121"/>
      <c r="AI121" s="38"/>
      <c r="AJ121" s="38"/>
      <c r="AK121" s="50"/>
    </row>
    <row r="122" spans="1:37" x14ac:dyDescent="0.25">
      <c r="A122"/>
      <c r="AI122" s="38"/>
      <c r="AJ122" s="38"/>
      <c r="AK122" s="50"/>
    </row>
    <row r="123" spans="1:37" x14ac:dyDescent="0.25">
      <c r="AI123" s="38"/>
      <c r="AJ123" s="38"/>
      <c r="AK123" s="50"/>
    </row>
    <row r="124" spans="1:37" x14ac:dyDescent="0.25">
      <c r="AI124" s="38"/>
      <c r="AJ124" s="38"/>
      <c r="AK124" s="50"/>
    </row>
    <row r="125" spans="1:37" x14ac:dyDescent="0.25">
      <c r="AI125" s="38"/>
      <c r="AJ125" s="38"/>
      <c r="AK125" s="50"/>
    </row>
    <row r="126" spans="1:37" x14ac:dyDescent="0.25">
      <c r="AI126" s="38"/>
      <c r="AJ126" s="38"/>
      <c r="AK126" s="50"/>
    </row>
    <row r="127" spans="1:37" x14ac:dyDescent="0.25">
      <c r="AI127" s="38"/>
      <c r="AJ127" s="38"/>
      <c r="AK127" s="50"/>
    </row>
    <row r="128" spans="1:37" x14ac:dyDescent="0.25">
      <c r="AI128" s="38"/>
      <c r="AJ128" s="38"/>
      <c r="AK128" s="50"/>
    </row>
    <row r="129" spans="35:37" x14ac:dyDescent="0.25">
      <c r="AI129" s="38"/>
      <c r="AJ129" s="38"/>
      <c r="AK129" s="50"/>
    </row>
    <row r="130" spans="35:37" x14ac:dyDescent="0.25">
      <c r="AI130" s="38"/>
      <c r="AJ130" s="38"/>
      <c r="AK130" s="50"/>
    </row>
    <row r="131" spans="35:37" x14ac:dyDescent="0.25">
      <c r="AI131" s="38"/>
      <c r="AJ131" s="38"/>
      <c r="AK131" s="50"/>
    </row>
    <row r="132" spans="35:37" x14ac:dyDescent="0.25">
      <c r="AI132" s="38"/>
      <c r="AJ132" s="38"/>
      <c r="AK132" s="50"/>
    </row>
    <row r="133" spans="35:37" x14ac:dyDescent="0.25">
      <c r="AI133" s="38"/>
      <c r="AJ133" s="38"/>
      <c r="AK133" s="50"/>
    </row>
    <row r="134" spans="35:37" x14ac:dyDescent="0.25">
      <c r="AI134" s="38"/>
      <c r="AJ134" s="38"/>
      <c r="AK134" s="50"/>
    </row>
    <row r="135" spans="35:37" x14ac:dyDescent="0.25">
      <c r="AI135" s="38"/>
      <c r="AJ135" s="38"/>
      <c r="AK135" s="50"/>
    </row>
    <row r="136" spans="35:37" x14ac:dyDescent="0.25">
      <c r="AI136" s="38"/>
      <c r="AJ136" s="38"/>
      <c r="AK136" s="50"/>
    </row>
    <row r="137" spans="35:37" x14ac:dyDescent="0.25">
      <c r="AI137" s="38"/>
      <c r="AJ137" s="38"/>
      <c r="AK137" s="50"/>
    </row>
    <row r="138" spans="35:37" x14ac:dyDescent="0.25">
      <c r="AI138" s="38"/>
      <c r="AJ138" s="38"/>
      <c r="AK138" s="50"/>
    </row>
    <row r="139" spans="35:37" x14ac:dyDescent="0.25">
      <c r="AI139" s="38"/>
      <c r="AJ139" s="38"/>
      <c r="AK139" s="50"/>
    </row>
    <row r="140" spans="35:37" x14ac:dyDescent="0.25">
      <c r="AI140" s="38"/>
      <c r="AJ140" s="38"/>
      <c r="AK140" s="50"/>
    </row>
    <row r="141" spans="35:37" x14ac:dyDescent="0.25">
      <c r="AI141" s="38"/>
      <c r="AJ141" s="38"/>
      <c r="AK141" s="50"/>
    </row>
    <row r="142" spans="35:37" x14ac:dyDescent="0.25">
      <c r="AI142" s="38"/>
      <c r="AJ142" s="38"/>
      <c r="AK142" s="50"/>
    </row>
    <row r="143" spans="35:37" x14ac:dyDescent="0.25">
      <c r="AI143" s="38"/>
      <c r="AJ143" s="38"/>
      <c r="AK143" s="50"/>
    </row>
    <row r="144" spans="35:37" x14ac:dyDescent="0.25">
      <c r="AI144" s="38"/>
      <c r="AJ144" s="38"/>
      <c r="AK144" s="50"/>
    </row>
    <row r="145" spans="35:37" x14ac:dyDescent="0.25">
      <c r="AI145" s="38"/>
      <c r="AJ145" s="38"/>
      <c r="AK145" s="50"/>
    </row>
    <row r="146" spans="35:37" x14ac:dyDescent="0.25">
      <c r="AI146" s="38"/>
      <c r="AJ146" s="38"/>
      <c r="AK146" s="50"/>
    </row>
  </sheetData>
  <phoneticPr fontId="24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2026-03-12T08:57:54Z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