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IND001\MANU2025\SubRES_TMPL\"/>
    </mc:Choice>
  </mc:AlternateContent>
  <xr:revisionPtr revIDLastSave="0" documentId="13_ncr:1_{89AF23C2-FF22-44C2-A52E-B0D62AF925B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RI_Sector_Fuels" sheetId="6" r:id="rId1"/>
    <sheet name="DemTechs_INDF" sheetId="7" r:id="rId2"/>
  </sheets>
  <definedNames>
    <definedName name="FID_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8" i="7" l="1"/>
  <c r="B36" i="7"/>
  <c r="B37" i="7"/>
  <c r="B35" i="7"/>
  <c r="C34" i="7"/>
  <c r="C33" i="7"/>
  <c r="C32" i="7"/>
  <c r="D28" i="6"/>
  <c r="D29" i="6"/>
  <c r="B28" i="6"/>
  <c r="B29" i="6"/>
  <c r="C31" i="7"/>
  <c r="B27" i="6"/>
  <c r="B34" i="7"/>
  <c r="B33" i="7"/>
  <c r="B32" i="7"/>
  <c r="B31" i="7"/>
  <c r="D27" i="6"/>
  <c r="D26" i="6"/>
  <c r="B29" i="7"/>
  <c r="B30" i="7"/>
  <c r="B28" i="7"/>
  <c r="C30" i="7"/>
  <c r="C28" i="7"/>
  <c r="B27" i="7"/>
  <c r="Q27" i="6"/>
  <c r="D2" i="7"/>
  <c r="Q26" i="6"/>
  <c r="B26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N3" authorId="0" shapeId="0" xr:uid="{2A19E25C-9533-4C9F-A407-57D984DCF506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S3" authorId="1" shapeId="0" xr:uid="{F7F5F318-75A1-4325-A88B-2F82BF3DD5FC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T3" authorId="2" shapeId="0" xr:uid="{53BB6E19-8339-471B-8B5C-196BDFD2E19C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U3" authorId="2" shapeId="0" xr:uid="{11D04B3A-3D96-45B8-B9E2-F02C1D38F09E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V3" authorId="2" shapeId="0" xr:uid="{EC1F27C8-E4A5-4958-8210-00C9EAD805E1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J23" authorId="2" shapeId="0" xr:uid="{08A0A247-5B70-4F6A-BE7F-DF9684B12478}">
      <text>
        <r>
          <rPr>
            <sz val="8"/>
            <color indexed="81"/>
            <rFont val="Tahoma"/>
            <family val="2"/>
          </rPr>
          <t xml:space="preserve">This attribute is used to assign a production limit by period.
By defautt is defined like fixed share
</t>
        </r>
        <r>
          <rPr>
            <b/>
            <sz val="8"/>
            <color indexed="81"/>
            <rFont val="Tahoma"/>
            <family val="2"/>
          </rPr>
          <t>UP</t>
        </r>
        <r>
          <rPr>
            <sz val="8"/>
            <color indexed="81"/>
            <rFont val="Tahoma"/>
            <family val="2"/>
          </rPr>
          <t xml:space="preserve">
If you want fix or lower add
</t>
        </r>
        <r>
          <rPr>
            <b/>
            <sz val="8"/>
            <color indexed="81"/>
            <rFont val="Tahoma"/>
            <family val="2"/>
          </rPr>
          <t>~FX
~LO</t>
        </r>
      </text>
    </comment>
    <comment ref="T23" authorId="2" shapeId="0" xr:uid="{89F66F35-9E7D-4CFE-82E2-FED540200A65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U23" authorId="1" shapeId="0" xr:uid="{BFBE1E56-B2CF-4342-9D18-7A5625043F27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V23" authorId="2" shapeId="0" xr:uid="{32A4C634-AF1C-4AC8-8B25-E2B72657AC1B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N24" authorId="2" shapeId="0" xr:uid="{CC49012E-D54F-4799-8BAE-EA97B5C3A29A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V3" authorId="0" shapeId="0" xr:uid="{55A1C4CC-2CE1-4EC9-89C3-19F6C183A19B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AA3" authorId="1" shapeId="0" xr:uid="{B2B38135-7F48-40C5-9C6D-9368B3BD2092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AB3" authorId="2" shapeId="0" xr:uid="{345773E6-DE00-4CE0-B8BB-8B089B629421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AC3" authorId="2" shapeId="0" xr:uid="{31DAF2B0-786F-4E95-9CBB-D182F2EED3B5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AD3" authorId="2" shapeId="0" xr:uid="{555C1793-7B9E-49B9-8EB3-17347BDEF241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AB23" authorId="2" shapeId="0" xr:uid="{5EE58488-723F-4683-9026-2F0EE70F8071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AC23" authorId="1" shapeId="0" xr:uid="{308E9284-8F99-498B-A3DD-262799AF67EB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AD23" authorId="2" shapeId="0" xr:uid="{FD29F772-15B8-47C4-8D7A-88CCF8F71647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V24" authorId="2" shapeId="0" xr:uid="{BAA0F8AB-741B-4302-9E54-000CB5DC4ACF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sharedStrings.xml><?xml version="1.0" encoding="utf-8"?>
<sst xmlns="http://schemas.openxmlformats.org/spreadsheetml/2006/main" count="316" uniqueCount="148">
  <si>
    <t>~FI_T</t>
  </si>
  <si>
    <t>TechName</t>
  </si>
  <si>
    <t>TechDesc</t>
  </si>
  <si>
    <t>Comm-IN</t>
  </si>
  <si>
    <t>Comm-OUT</t>
  </si>
  <si>
    <t>FIXOM</t>
  </si>
  <si>
    <t>CommName</t>
  </si>
  <si>
    <t>~FI_Comm</t>
  </si>
  <si>
    <t>Csets</t>
  </si>
  <si>
    <t>CommDesc</t>
  </si>
  <si>
    <t>Unit</t>
  </si>
  <si>
    <t>LimType</t>
  </si>
  <si>
    <t>CTSLvl</t>
  </si>
  <si>
    <t>PeakTS</t>
  </si>
  <si>
    <t>Ctype</t>
  </si>
  <si>
    <t>Sets</t>
  </si>
  <si>
    <t>EFF</t>
  </si>
  <si>
    <t>~FI_Process</t>
  </si>
  <si>
    <t>Tact</t>
  </si>
  <si>
    <t>Tcap</t>
  </si>
  <si>
    <t>Tslvl</t>
  </si>
  <si>
    <t>PrimaryCG</t>
  </si>
  <si>
    <t>Vintage</t>
  </si>
  <si>
    <t>Commodity Name</t>
  </si>
  <si>
    <t>Commodity Description</t>
  </si>
  <si>
    <t>Peak Monitoring</t>
  </si>
  <si>
    <t>Electricity Indicator</t>
  </si>
  <si>
    <t>Technology Name</t>
  </si>
  <si>
    <t>Technology Description</t>
  </si>
  <si>
    <t>Activity Unit</t>
  </si>
  <si>
    <t>Capacity Unit</t>
  </si>
  <si>
    <t>Vintage Tracking</t>
  </si>
  <si>
    <t>Input Commodity</t>
  </si>
  <si>
    <t>Output Commodity</t>
  </si>
  <si>
    <t>AFA</t>
  </si>
  <si>
    <t>Efficiency</t>
  </si>
  <si>
    <t>INVCOST</t>
  </si>
  <si>
    <t>Fixed O&amp;M Cost</t>
  </si>
  <si>
    <t>Sector Name</t>
  </si>
  <si>
    <t>Description</t>
  </si>
  <si>
    <t>Type</t>
  </si>
  <si>
    <t>Currency Unit</t>
  </si>
  <si>
    <t>Region</t>
  </si>
  <si>
    <t>*Commodity Set Membership</t>
  </si>
  <si>
    <t>Region Name</t>
  </si>
  <si>
    <t>Sense of the Balance EQN.</t>
  </si>
  <si>
    <t>Timeslice Level</t>
  </si>
  <si>
    <t>LIFE</t>
  </si>
  <si>
    <t>*Technology Name</t>
  </si>
  <si>
    <t>Utilisation Factor</t>
  </si>
  <si>
    <t>*Process Set Membership</t>
  </si>
  <si>
    <t>TimeSlice level of Process Activity</t>
  </si>
  <si>
    <t>Primary Commodity Group</t>
  </si>
  <si>
    <t>*Units</t>
  </si>
  <si>
    <t>Years</t>
  </si>
  <si>
    <t>Year</t>
  </si>
  <si>
    <t>CAP2ACT</t>
  </si>
  <si>
    <t>Lifetime</t>
  </si>
  <si>
    <t>GWh</t>
  </si>
  <si>
    <t>NRG</t>
  </si>
  <si>
    <t>GAS</t>
  </si>
  <si>
    <t>BIO</t>
  </si>
  <si>
    <t>Biomass</t>
  </si>
  <si>
    <t>SOL</t>
  </si>
  <si>
    <t>MIN</t>
  </si>
  <si>
    <t>CSP</t>
  </si>
  <si>
    <t>Furnace</t>
  </si>
  <si>
    <t>MANGASMIN</t>
  </si>
  <si>
    <t>MANBIOMIN</t>
  </si>
  <si>
    <t>ELC</t>
  </si>
  <si>
    <t>Commodity</t>
  </si>
  <si>
    <t>Default Unit</t>
  </si>
  <si>
    <t>WIND</t>
  </si>
  <si>
    <t>Wind</t>
  </si>
  <si>
    <t>Solar</t>
  </si>
  <si>
    <t>Ngas</t>
  </si>
  <si>
    <t>COST</t>
  </si>
  <si>
    <t>ACT_BND</t>
  </si>
  <si>
    <t>Cost</t>
  </si>
  <si>
    <t>Annual Production Bound</t>
  </si>
  <si>
    <t>conversion factor from cap to act</t>
  </si>
  <si>
    <t>*</t>
  </si>
  <si>
    <t>User inputs</t>
  </si>
  <si>
    <t>Linked to the Energy Balance</t>
  </si>
  <si>
    <t>Existing</t>
  </si>
  <si>
    <t>Input Share</t>
  </si>
  <si>
    <t>Inestment Cost</t>
  </si>
  <si>
    <t>MW</t>
  </si>
  <si>
    <t>DayNite</t>
  </si>
  <si>
    <t>Natural Gas/Domestic</t>
  </si>
  <si>
    <t>WNDTRBN</t>
  </si>
  <si>
    <t>SOLPV</t>
  </si>
  <si>
    <t>Electricity from Solar PV</t>
  </si>
  <si>
    <t>Electricity from wind</t>
  </si>
  <si>
    <t>N</t>
  </si>
  <si>
    <t>MAN</t>
  </si>
  <si>
    <t>Mamufacturing</t>
  </si>
  <si>
    <t>Biomass boiler</t>
  </si>
  <si>
    <t>BIOBoiler</t>
  </si>
  <si>
    <t>BIOKiln</t>
  </si>
  <si>
    <t>GASBoiler</t>
  </si>
  <si>
    <t>Gas boiler</t>
  </si>
  <si>
    <t>ELCBoiler</t>
  </si>
  <si>
    <t>Manufacturing heat from Solar</t>
  </si>
  <si>
    <t>VAROM</t>
  </si>
  <si>
    <t>Variable O&amp;M Cost</t>
  </si>
  <si>
    <t>MINBIO</t>
  </si>
  <si>
    <t>MINGAS</t>
  </si>
  <si>
    <t>ETH</t>
  </si>
  <si>
    <t>ENV_ACT</t>
  </si>
  <si>
    <t>Activity Emission Coefficient</t>
  </si>
  <si>
    <t>ktCO₂/GWh</t>
  </si>
  <si>
    <t>MANCO2</t>
  </si>
  <si>
    <t>MANHEAT</t>
  </si>
  <si>
    <t>CEMENTHEAT</t>
  </si>
  <si>
    <t>TH2024USD/GWh</t>
  </si>
  <si>
    <t>TH$2024</t>
  </si>
  <si>
    <t>TH2024USD/MW</t>
  </si>
  <si>
    <t>Share-I~UP~2030</t>
  </si>
  <si>
    <t>START</t>
  </si>
  <si>
    <t>Bound on new capacity</t>
  </si>
  <si>
    <t>Share-I~UP~UP~2035</t>
  </si>
  <si>
    <t>Share-I~UP~UP~2040</t>
  </si>
  <si>
    <t>Share-I~UP~UP~2045</t>
  </si>
  <si>
    <t>Share-I~UP~UP~2050</t>
  </si>
  <si>
    <t>Wind Resource</t>
  </si>
  <si>
    <t>SOLAR</t>
  </si>
  <si>
    <t>Sollar Radation</t>
  </si>
  <si>
    <t>MINWIND</t>
  </si>
  <si>
    <t>MINSOLAR</t>
  </si>
  <si>
    <t>Solar Radation-Harnessed</t>
  </si>
  <si>
    <t>Wind Resource-Harnessed</t>
  </si>
  <si>
    <t>Peak</t>
  </si>
  <si>
    <t>% Contribution</t>
  </si>
  <si>
    <t>Manufacturing heat supplier using electricity</t>
  </si>
  <si>
    <t>DMD</t>
  </si>
  <si>
    <t>DECELC</t>
  </si>
  <si>
    <t>Electric boiler</t>
  </si>
  <si>
    <t>Biomass kiln</t>
  </si>
  <si>
    <t>WNDELC</t>
  </si>
  <si>
    <t>SOLELC</t>
  </si>
  <si>
    <t xml:space="preserve">Electricity from solar </t>
  </si>
  <si>
    <t>Electricity from Wind</t>
  </si>
  <si>
    <t>Decenteralized electricity from wind and solar aggrigator</t>
  </si>
  <si>
    <t>TH2024USD/MWh</t>
  </si>
  <si>
    <t>BIOELC</t>
  </si>
  <si>
    <t>Electricity from Bioenergy</t>
  </si>
  <si>
    <t>BIOPOWER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</si>
</sst>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\Te\x\t"/>
    <numFmt numFmtId="166" formatCode="0.0"/>
  </numFmts>
  <fonts count="2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0"/>
      <color indexed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8"/>
      <color theme="1"/>
      <name val="Arial"/>
      <family val="2"/>
    </font>
    <font>
      <sz val="10"/>
      <color rgb="FFFF0000"/>
      <name val="Arial"/>
      <family val="2"/>
    </font>
    <font>
      <sz val="11"/>
      <color rgb="FF9C6500"/>
      <name val="Calibri"/>
      <family val="2"/>
      <scheme val="minor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color rgb="FF00B050"/>
      <name val="Arial"/>
      <family val="2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0"/>
      <color theme="1"/>
      <name val="Arial"/>
      <family val="2"/>
    </font>
    <font>
      <sz val="8"/>
      <name val="Arial"/>
      <family val="2"/>
    </font>
    <font>
      <sz val="10"/>
      <color rgb="FF000000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5"/>
      </patternFill>
    </fill>
    <fill>
      <patternFill patternType="solid">
        <fgColor rgb="FFC6EFCE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B9C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2">
    <xf numFmtId="0" fontId="0" fillId="0" borderId="0"/>
    <xf numFmtId="0" fontId="12" fillId="4" borderId="0" applyNumberFormat="0" applyBorder="0" applyAlignment="0" applyProtection="0"/>
    <xf numFmtId="164" fontId="11" fillId="0" borderId="0" applyFont="0" applyFill="0" applyBorder="0" applyAlignment="0" applyProtection="0"/>
    <xf numFmtId="0" fontId="13" fillId="5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5" fillId="0" borderId="0"/>
    <xf numFmtId="0" fontId="3" fillId="0" borderId="0"/>
    <xf numFmtId="9" fontId="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5" fillId="0" borderId="0"/>
    <xf numFmtId="0" fontId="2" fillId="3" borderId="0" applyNumberFormat="0" applyBorder="0" applyAlignment="0" applyProtection="0"/>
    <xf numFmtId="0" fontId="17" fillId="9" borderId="0" applyNumberFormat="0" applyBorder="0" applyAlignment="0" applyProtection="0"/>
    <xf numFmtId="0" fontId="2" fillId="3" borderId="0" applyNumberFormat="0" applyBorder="0" applyAlignment="0" applyProtection="0"/>
    <xf numFmtId="9" fontId="5" fillId="0" borderId="0" applyFont="0" applyFill="0" applyBorder="0" applyAlignment="0" applyProtection="0"/>
  </cellStyleXfs>
  <cellXfs count="90">
    <xf numFmtId="0" fontId="0" fillId="0" borderId="0" xfId="0"/>
    <xf numFmtId="0" fontId="5" fillId="0" borderId="0" xfId="0" applyFont="1"/>
    <xf numFmtId="0" fontId="4" fillId="0" borderId="0" xfId="6" applyFont="1" applyAlignment="1">
      <alignment horizontal="left"/>
    </xf>
    <xf numFmtId="0" fontId="0" fillId="0" borderId="0" xfId="0" applyAlignment="1">
      <alignment wrapText="1"/>
    </xf>
    <xf numFmtId="0" fontId="12" fillId="4" borderId="0" xfId="1" applyAlignment="1">
      <alignment wrapText="1"/>
    </xf>
    <xf numFmtId="0" fontId="5" fillId="0" borderId="0" xfId="4"/>
    <xf numFmtId="165" fontId="4" fillId="0" borderId="0" xfId="0" applyNumberFormat="1" applyFont="1"/>
    <xf numFmtId="165" fontId="5" fillId="0" borderId="0" xfId="0" applyNumberFormat="1" applyFont="1"/>
    <xf numFmtId="165" fontId="6" fillId="2" borderId="2" xfId="0" applyNumberFormat="1" applyFont="1" applyFill="1" applyBorder="1" applyAlignment="1">
      <alignment horizontal="left"/>
    </xf>
    <xf numFmtId="165" fontId="6" fillId="2" borderId="3" xfId="0" applyNumberFormat="1" applyFont="1" applyFill="1" applyBorder="1" applyAlignment="1">
      <alignment horizontal="left"/>
    </xf>
    <xf numFmtId="165" fontId="0" fillId="0" borderId="0" xfId="0" applyNumberFormat="1"/>
    <xf numFmtId="0" fontId="14" fillId="8" borderId="0" xfId="3" applyFont="1" applyFill="1"/>
    <xf numFmtId="165" fontId="16" fillId="0" borderId="0" xfId="0" applyNumberFormat="1" applyFont="1"/>
    <xf numFmtId="165" fontId="15" fillId="3" borderId="1" xfId="18" applyNumberFormat="1" applyFont="1" applyBorder="1" applyAlignment="1">
      <alignment horizontal="left" wrapText="1"/>
    </xf>
    <xf numFmtId="0" fontId="16" fillId="0" borderId="0" xfId="0" applyFont="1"/>
    <xf numFmtId="0" fontId="6" fillId="2" borderId="2" xfId="0" applyFont="1" applyFill="1" applyBorder="1" applyAlignment="1">
      <alignment horizontal="left"/>
    </xf>
    <xf numFmtId="0" fontId="6" fillId="2" borderId="3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center"/>
    </xf>
    <xf numFmtId="0" fontId="15" fillId="3" borderId="1" xfId="18" applyFont="1" applyBorder="1" applyAlignment="1">
      <alignment horizontal="left" wrapText="1"/>
    </xf>
    <xf numFmtId="0" fontId="15" fillId="3" borderId="0" xfId="18" applyFont="1" applyBorder="1" applyAlignment="1">
      <alignment horizontal="left" wrapText="1"/>
    </xf>
    <xf numFmtId="0" fontId="15" fillId="3" borderId="1" xfId="18" applyFont="1" applyBorder="1" applyAlignment="1">
      <alignment horizontal="center" wrapText="1"/>
    </xf>
    <xf numFmtId="0" fontId="15" fillId="3" borderId="0" xfId="18" applyFont="1" applyBorder="1" applyAlignment="1">
      <alignment horizontal="center" wrapText="1"/>
    </xf>
    <xf numFmtId="165" fontId="15" fillId="3" borderId="1" xfId="18" applyNumberFormat="1" applyFont="1" applyBorder="1" applyAlignment="1">
      <alignment horizontal="center" wrapText="1"/>
    </xf>
    <xf numFmtId="0" fontId="5" fillId="7" borderId="0" xfId="19" applyFont="1" applyFill="1"/>
    <xf numFmtId="2" fontId="5" fillId="7" borderId="0" xfId="0" applyNumberFormat="1" applyFont="1" applyFill="1"/>
    <xf numFmtId="1" fontId="16" fillId="10" borderId="0" xfId="0" applyNumberFormat="1" applyFont="1" applyFill="1"/>
    <xf numFmtId="2" fontId="5" fillId="10" borderId="0" xfId="0" applyNumberFormat="1" applyFont="1" applyFill="1"/>
    <xf numFmtId="165" fontId="0" fillId="0" borderId="0" xfId="0" applyNumberFormat="1" applyAlignment="1">
      <alignment wrapText="1"/>
    </xf>
    <xf numFmtId="2" fontId="5" fillId="0" borderId="0" xfId="0" applyNumberFormat="1" applyFont="1"/>
    <xf numFmtId="1" fontId="16" fillId="7" borderId="0" xfId="19" applyNumberFormat="1" applyFont="1" applyFill="1"/>
    <xf numFmtId="0" fontId="0" fillId="10" borderId="0" xfId="0" applyFill="1"/>
    <xf numFmtId="165" fontId="15" fillId="3" borderId="1" xfId="20" applyNumberFormat="1" applyFont="1" applyBorder="1" applyAlignment="1">
      <alignment horizontal="left" wrapText="1"/>
    </xf>
    <xf numFmtId="0" fontId="15" fillId="3" borderId="2" xfId="20" applyFont="1" applyBorder="1" applyAlignment="1">
      <alignment horizontal="left" wrapText="1"/>
    </xf>
    <xf numFmtId="0" fontId="15" fillId="3" borderId="3" xfId="20" applyFont="1" applyBorder="1" applyAlignment="1">
      <alignment horizontal="left" wrapText="1"/>
    </xf>
    <xf numFmtId="0" fontId="15" fillId="3" borderId="1" xfId="20" applyFont="1" applyBorder="1" applyAlignment="1">
      <alignment horizontal="left" wrapText="1"/>
    </xf>
    <xf numFmtId="0" fontId="15" fillId="3" borderId="1" xfId="20" applyFont="1" applyBorder="1" applyAlignment="1">
      <alignment horizontal="center" wrapText="1"/>
    </xf>
    <xf numFmtId="0" fontId="15" fillId="3" borderId="4" xfId="20" applyFont="1" applyBorder="1" applyAlignment="1">
      <alignment horizontal="center" wrapText="1"/>
    </xf>
    <xf numFmtId="165" fontId="20" fillId="0" borderId="0" xfId="0" applyNumberFormat="1" applyFont="1"/>
    <xf numFmtId="0" fontId="21" fillId="0" borderId="0" xfId="0" applyFont="1"/>
    <xf numFmtId="165" fontId="21" fillId="0" borderId="0" xfId="0" applyNumberFormat="1" applyFont="1"/>
    <xf numFmtId="165" fontId="21" fillId="0" borderId="0" xfId="0" applyNumberFormat="1" applyFont="1" applyAlignment="1">
      <alignment wrapText="1"/>
    </xf>
    <xf numFmtId="165" fontId="15" fillId="8" borderId="0" xfId="20" applyNumberFormat="1" applyFont="1" applyFill="1" applyBorder="1" applyAlignment="1">
      <alignment horizontal="left" wrapText="1"/>
    </xf>
    <xf numFmtId="165" fontId="21" fillId="8" borderId="0" xfId="0" applyNumberFormat="1" applyFont="1" applyFill="1"/>
    <xf numFmtId="0" fontId="21" fillId="8" borderId="0" xfId="0" applyFont="1" applyFill="1"/>
    <xf numFmtId="1" fontId="21" fillId="0" borderId="0" xfId="4" applyNumberFormat="1" applyFont="1"/>
    <xf numFmtId="0" fontId="1" fillId="4" borderId="0" xfId="1" applyFont="1"/>
    <xf numFmtId="0" fontId="21" fillId="0" borderId="0" xfId="4" applyFont="1"/>
    <xf numFmtId="0" fontId="21" fillId="8" borderId="0" xfId="4" applyFont="1" applyFill="1"/>
    <xf numFmtId="0" fontId="22" fillId="6" borderId="0" xfId="3" applyFont="1" applyFill="1"/>
    <xf numFmtId="0" fontId="22" fillId="6" borderId="0" xfId="3" applyFont="1" applyFill="1" applyAlignment="1">
      <alignment wrapText="1"/>
    </xf>
    <xf numFmtId="165" fontId="23" fillId="0" borderId="0" xfId="4" applyNumberFormat="1" applyFont="1"/>
    <xf numFmtId="165" fontId="21" fillId="0" borderId="0" xfId="4" applyNumberFormat="1" applyFont="1"/>
    <xf numFmtId="165" fontId="23" fillId="2" borderId="2" xfId="4" applyNumberFormat="1" applyFont="1" applyFill="1" applyBorder="1" applyAlignment="1">
      <alignment horizontal="left"/>
    </xf>
    <xf numFmtId="165" fontId="23" fillId="2" borderId="3" xfId="4" applyNumberFormat="1" applyFont="1" applyFill="1" applyBorder="1" applyAlignment="1">
      <alignment horizontal="left"/>
    </xf>
    <xf numFmtId="0" fontId="22" fillId="0" borderId="0" xfId="3" applyFont="1" applyFill="1"/>
    <xf numFmtId="165" fontId="21" fillId="8" borderId="0" xfId="4" applyNumberFormat="1" applyFont="1" applyFill="1"/>
    <xf numFmtId="0" fontId="23" fillId="0" borderId="0" xfId="6" applyFont="1" applyAlignment="1">
      <alignment horizontal="left"/>
    </xf>
    <xf numFmtId="0" fontId="23" fillId="2" borderId="2" xfId="6" applyFont="1" applyFill="1" applyBorder="1" applyAlignment="1">
      <alignment horizontal="left" vertical="center"/>
    </xf>
    <xf numFmtId="0" fontId="23" fillId="2" borderId="2" xfId="6" applyFont="1" applyFill="1" applyBorder="1" applyAlignment="1">
      <alignment horizontal="center" vertical="center" wrapText="1"/>
    </xf>
    <xf numFmtId="0" fontId="23" fillId="2" borderId="2" xfId="7" applyFont="1" applyFill="1" applyBorder="1" applyAlignment="1">
      <alignment horizontal="center" vertical="center" wrapText="1"/>
    </xf>
    <xf numFmtId="0" fontId="23" fillId="2" borderId="0" xfId="6" applyFont="1" applyFill="1" applyAlignment="1">
      <alignment horizontal="center" vertical="center" wrapText="1"/>
    </xf>
    <xf numFmtId="0" fontId="21" fillId="11" borderId="0" xfId="0" applyFont="1" applyFill="1"/>
    <xf numFmtId="165" fontId="21" fillId="11" borderId="0" xfId="0" applyNumberFormat="1" applyFont="1" applyFill="1"/>
    <xf numFmtId="165" fontId="21" fillId="11" borderId="0" xfId="0" applyNumberFormat="1" applyFont="1" applyFill="1" applyAlignment="1">
      <alignment wrapText="1"/>
    </xf>
    <xf numFmtId="0" fontId="23" fillId="8" borderId="0" xfId="0" applyFont="1" applyFill="1"/>
    <xf numFmtId="2" fontId="21" fillId="0" borderId="0" xfId="4" applyNumberFormat="1" applyFont="1"/>
    <xf numFmtId="9" fontId="21" fillId="8" borderId="0" xfId="21" applyFont="1" applyFill="1"/>
    <xf numFmtId="166" fontId="21" fillId="8" borderId="0" xfId="4" applyNumberFormat="1" applyFont="1" applyFill="1"/>
    <xf numFmtId="9" fontId="21" fillId="0" borderId="0" xfId="4" applyNumberFormat="1" applyFont="1"/>
    <xf numFmtId="166" fontId="21" fillId="0" borderId="0" xfId="4" applyNumberFormat="1" applyFont="1"/>
    <xf numFmtId="9" fontId="21" fillId="0" borderId="0" xfId="21" applyFont="1"/>
    <xf numFmtId="0" fontId="21" fillId="7" borderId="0" xfId="4" applyFont="1" applyFill="1"/>
    <xf numFmtId="0" fontId="21" fillId="10" borderId="0" xfId="4" applyFont="1" applyFill="1"/>
    <xf numFmtId="0" fontId="22" fillId="8" borderId="0" xfId="3" applyFont="1" applyFill="1"/>
    <xf numFmtId="0" fontId="4" fillId="0" borderId="0" xfId="0" applyFont="1"/>
    <xf numFmtId="0" fontId="5" fillId="2" borderId="1" xfId="0" applyFont="1" applyFill="1" applyBorder="1"/>
    <xf numFmtId="0" fontId="15" fillId="3" borderId="0" xfId="20" applyFont="1" applyBorder="1" applyAlignment="1">
      <alignment horizontal="left" wrapText="1"/>
    </xf>
    <xf numFmtId="0" fontId="15" fillId="3" borderId="0" xfId="20" applyFont="1" applyBorder="1" applyAlignment="1">
      <alignment horizontal="center" wrapText="1"/>
    </xf>
    <xf numFmtId="0" fontId="14" fillId="0" borderId="0" xfId="3" applyFont="1" applyFill="1"/>
    <xf numFmtId="0" fontId="16" fillId="0" borderId="0" xfId="4" applyFont="1"/>
    <xf numFmtId="0" fontId="16" fillId="8" borderId="0" xfId="4" applyFont="1" applyFill="1"/>
    <xf numFmtId="0" fontId="6" fillId="0" borderId="0" xfId="0" applyFont="1"/>
    <xf numFmtId="0" fontId="6" fillId="8" borderId="2" xfId="0" applyFont="1" applyFill="1" applyBorder="1" applyAlignment="1">
      <alignment vertical="center"/>
    </xf>
    <xf numFmtId="0" fontId="0" fillId="8" borderId="0" xfId="0" applyFill="1"/>
    <xf numFmtId="0" fontId="6" fillId="8" borderId="0" xfId="0" applyFont="1" applyFill="1" applyAlignment="1">
      <alignment vertical="center"/>
    </xf>
    <xf numFmtId="0" fontId="6" fillId="8" borderId="0" xfId="0" applyFont="1" applyFill="1" applyAlignment="1">
      <alignment vertical="center" wrapText="1"/>
    </xf>
    <xf numFmtId="2" fontId="16" fillId="0" borderId="0" xfId="4" applyNumberFormat="1" applyFont="1"/>
    <xf numFmtId="165" fontId="16" fillId="0" borderId="0" xfId="4" applyNumberFormat="1" applyFont="1"/>
    <xf numFmtId="165" fontId="5" fillId="0" borderId="0" xfId="4" applyNumberFormat="1"/>
    <xf numFmtId="0" fontId="25" fillId="0" borderId="0" xfId="0" applyFont="1"/>
  </cellXfs>
  <cellStyles count="22">
    <cellStyle name="20% - Accent5 2" xfId="18" xr:uid="{4C3A48E2-3C46-4D12-9A64-54698D8BF8EE}"/>
    <cellStyle name="20% - Accent5 3" xfId="20" xr:uid="{3013E58E-05D8-4A7E-9DD3-5FDB1B87B181}"/>
    <cellStyle name="Accent2" xfId="1" builtinId="33"/>
    <cellStyle name="Comma 2" xfId="2" xr:uid="{00000000-0005-0000-0000-000002000000}"/>
    <cellStyle name="Good" xfId="3" builtinId="26"/>
    <cellStyle name="Neutral 2" xfId="19" xr:uid="{F4CB6A30-052B-4BBD-966C-479BF0489D45}"/>
    <cellStyle name="Normal" xfId="0" builtinId="0"/>
    <cellStyle name="Normal 10" xfId="4" xr:uid="{00000000-0005-0000-0000-000005000000}"/>
    <cellStyle name="Normal 2" xfId="5" xr:uid="{00000000-0005-0000-0000-000006000000}"/>
    <cellStyle name="Normal 4" xfId="6" xr:uid="{00000000-0005-0000-0000-000007000000}"/>
    <cellStyle name="Normal 4 2" xfId="7" xr:uid="{00000000-0005-0000-0000-000008000000}"/>
    <cellStyle name="Normal 8" xfId="8" xr:uid="{00000000-0005-0000-0000-000009000000}"/>
    <cellStyle name="Normal 9 2" xfId="9" xr:uid="{00000000-0005-0000-0000-00000A000000}"/>
    <cellStyle name="Normale_B2020" xfId="10" xr:uid="{00000000-0005-0000-0000-00000B000000}"/>
    <cellStyle name="Per cent 2" xfId="21" xr:uid="{51C5E537-54D3-40E4-BB31-46A9F8839CE1}"/>
    <cellStyle name="Percent 2" xfId="11" xr:uid="{00000000-0005-0000-0000-00000C000000}"/>
    <cellStyle name="Percent 2 2" xfId="12" xr:uid="{00000000-0005-0000-0000-00000D000000}"/>
    <cellStyle name="Percent 3" xfId="13" xr:uid="{00000000-0005-0000-0000-00000E000000}"/>
    <cellStyle name="Percent 3 2" xfId="14" xr:uid="{00000000-0005-0000-0000-00000F000000}"/>
    <cellStyle name="Percent 4" xfId="15" xr:uid="{00000000-0005-0000-0000-000010000000}"/>
    <cellStyle name="Percent 5" xfId="16" xr:uid="{00000000-0005-0000-0000-000011000000}"/>
    <cellStyle name="Standard_Sce_D_Extraction" xfId="17" xr:uid="{00000000-0005-0000-0000-00001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129540</xdr:colOff>
      <xdr:row>55</xdr:row>
      <xdr:rowOff>137160</xdr:rowOff>
    </xdr:from>
    <xdr:to>
      <xdr:col>17</xdr:col>
      <xdr:colOff>133299</xdr:colOff>
      <xdr:row>64</xdr:row>
      <xdr:rowOff>45720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134EA7B-FD36-4F10-9142-9732DF6B1312}"/>
            </a:ext>
          </a:extLst>
        </xdr:cNvPr>
        <xdr:cNvSpPr txBox="1"/>
      </xdr:nvSpPr>
      <xdr:spPr>
        <a:xfrm>
          <a:off x="8305800" y="8557260"/>
          <a:ext cx="5292039" cy="141732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coal an energy commodity (FI_COMM table) and define each supply option (FI_Process table).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 a 3-step domestic coal supply curve, along with and import and export option.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89C8C-2E2A-4CC1-9EB1-31AFA36FA445}">
  <dimension ref="A1:W67"/>
  <sheetViews>
    <sheetView topLeftCell="N19" zoomScale="142" zoomScaleNormal="142" workbookViewId="0">
      <selection activeCell="L32" sqref="L32"/>
    </sheetView>
  </sheetViews>
  <sheetFormatPr defaultRowHeight="13.2" x14ac:dyDescent="0.25"/>
  <cols>
    <col min="1" max="1" width="2" bestFit="1" customWidth="1"/>
    <col min="2" max="2" width="19.21875" bestFit="1" customWidth="1"/>
    <col min="3" max="3" width="12.21875" customWidth="1"/>
    <col min="4" max="4" width="18.77734375" bestFit="1" customWidth="1"/>
    <col min="5" max="5" width="7.5546875" bestFit="1" customWidth="1"/>
    <col min="6" max="6" width="18.21875" bestFit="1" customWidth="1"/>
    <col min="7" max="7" width="8.21875" bestFit="1" customWidth="1"/>
    <col min="8" max="8" width="17.77734375" bestFit="1" customWidth="1"/>
    <col min="9" max="9" width="8.77734375" bestFit="1" customWidth="1"/>
    <col min="10" max="10" width="13.77734375" bestFit="1" customWidth="1"/>
    <col min="11" max="13" width="13.77734375" customWidth="1"/>
    <col min="14" max="14" width="11.77734375" bestFit="1" customWidth="1"/>
    <col min="15" max="15" width="7.21875" customWidth="1"/>
    <col min="16" max="16" width="21.44140625" bestFit="1" customWidth="1"/>
    <col min="17" max="17" width="36.77734375" bestFit="1" customWidth="1"/>
    <col min="18" max="18" width="6.21875" customWidth="1"/>
    <col min="19" max="19" width="11.5546875" customWidth="1"/>
    <col min="20" max="20" width="12.77734375" bestFit="1" customWidth="1"/>
    <col min="21" max="21" width="13.21875" bestFit="1" customWidth="1"/>
    <col min="22" max="22" width="19.44140625" bestFit="1" customWidth="1"/>
  </cols>
  <sheetData>
    <row r="1" spans="2:22" ht="28.8" x14ac:dyDescent="0.3">
      <c r="B1" s="4" t="s">
        <v>38</v>
      </c>
      <c r="C1" s="4" t="s">
        <v>70</v>
      </c>
      <c r="D1" s="4" t="s">
        <v>39</v>
      </c>
      <c r="E1" s="4" t="s">
        <v>71</v>
      </c>
      <c r="F1" s="4" t="s">
        <v>41</v>
      </c>
      <c r="G1" s="3"/>
    </row>
    <row r="2" spans="2:22" ht="15.6" x14ac:dyDescent="0.3">
      <c r="C2" s="38" t="s">
        <v>72</v>
      </c>
      <c r="D2" s="38" t="s">
        <v>73</v>
      </c>
      <c r="E2" s="73" t="s">
        <v>58</v>
      </c>
      <c r="F2" s="73" t="s">
        <v>115</v>
      </c>
      <c r="G2" s="14"/>
      <c r="N2" s="6" t="s">
        <v>7</v>
      </c>
      <c r="O2" s="6"/>
      <c r="P2" s="7"/>
      <c r="Q2" s="7"/>
      <c r="R2" s="7"/>
      <c r="S2" s="7"/>
      <c r="T2" s="7"/>
      <c r="U2" s="7"/>
      <c r="V2" s="7"/>
    </row>
    <row r="3" spans="2:22" ht="15.6" x14ac:dyDescent="0.3">
      <c r="C3" s="38" t="s">
        <v>63</v>
      </c>
      <c r="D3" s="38" t="s">
        <v>74</v>
      </c>
      <c r="E3" s="73" t="s">
        <v>58</v>
      </c>
      <c r="F3" s="73" t="s">
        <v>115</v>
      </c>
      <c r="G3" s="14"/>
      <c r="N3" s="8" t="s">
        <v>8</v>
      </c>
      <c r="O3" s="9" t="s">
        <v>42</v>
      </c>
      <c r="P3" s="8" t="s">
        <v>6</v>
      </c>
      <c r="Q3" s="8" t="s">
        <v>9</v>
      </c>
      <c r="R3" s="8" t="s">
        <v>10</v>
      </c>
      <c r="S3" s="8" t="s">
        <v>11</v>
      </c>
      <c r="T3" s="8" t="s">
        <v>12</v>
      </c>
      <c r="U3" s="8" t="s">
        <v>13</v>
      </c>
      <c r="V3" s="8" t="s">
        <v>14</v>
      </c>
    </row>
    <row r="4" spans="2:22" ht="22.2" thickBot="1" x14ac:dyDescent="0.35">
      <c r="C4" s="38" t="s">
        <v>61</v>
      </c>
      <c r="D4" s="38" t="s">
        <v>62</v>
      </c>
      <c r="E4" s="73" t="s">
        <v>58</v>
      </c>
      <c r="F4" s="73" t="s">
        <v>115</v>
      </c>
      <c r="G4" s="14"/>
      <c r="N4" s="13" t="s">
        <v>43</v>
      </c>
      <c r="O4" s="13" t="s">
        <v>44</v>
      </c>
      <c r="P4" s="13" t="s">
        <v>23</v>
      </c>
      <c r="Q4" s="13" t="s">
        <v>24</v>
      </c>
      <c r="R4" s="13" t="s">
        <v>10</v>
      </c>
      <c r="S4" s="13" t="s">
        <v>45</v>
      </c>
      <c r="T4" s="13" t="s">
        <v>46</v>
      </c>
      <c r="U4" s="13" t="s">
        <v>25</v>
      </c>
      <c r="V4" s="13" t="s">
        <v>26</v>
      </c>
    </row>
    <row r="5" spans="2:22" ht="15.6" x14ac:dyDescent="0.3">
      <c r="C5" s="38" t="s">
        <v>60</v>
      </c>
      <c r="D5" s="38" t="s">
        <v>75</v>
      </c>
      <c r="E5" s="73" t="s">
        <v>58</v>
      </c>
      <c r="F5" s="73" t="s">
        <v>115</v>
      </c>
      <c r="G5" s="14"/>
      <c r="N5" s="39" t="s">
        <v>59</v>
      </c>
      <c r="O5" s="39"/>
      <c r="P5" s="39" t="s">
        <v>68</v>
      </c>
      <c r="Q5" s="39" t="s">
        <v>62</v>
      </c>
      <c r="R5" s="39" t="s">
        <v>58</v>
      </c>
      <c r="S5" s="12"/>
      <c r="T5" s="12" t="s">
        <v>88</v>
      </c>
      <c r="U5" s="12"/>
      <c r="V5" s="12"/>
    </row>
    <row r="6" spans="2:22" ht="15.6" x14ac:dyDescent="0.3">
      <c r="C6" s="14"/>
      <c r="D6" s="14"/>
      <c r="E6" s="11"/>
      <c r="F6" s="11"/>
      <c r="G6" s="14"/>
      <c r="N6" s="39" t="s">
        <v>59</v>
      </c>
      <c r="O6" s="39"/>
      <c r="P6" s="39" t="s">
        <v>67</v>
      </c>
      <c r="Q6" s="39" t="s">
        <v>89</v>
      </c>
      <c r="R6" s="39" t="s">
        <v>58</v>
      </c>
      <c r="S6" s="12"/>
      <c r="T6" s="12" t="s">
        <v>88</v>
      </c>
      <c r="U6" s="12"/>
      <c r="V6" s="12"/>
    </row>
    <row r="7" spans="2:22" ht="15.6" x14ac:dyDescent="0.3">
      <c r="C7" s="14"/>
      <c r="D7" s="14"/>
      <c r="E7" s="11"/>
      <c r="F7" s="11"/>
      <c r="G7" s="14"/>
      <c r="N7" s="12" t="s">
        <v>59</v>
      </c>
      <c r="O7" s="12"/>
      <c r="P7" s="12" t="s">
        <v>72</v>
      </c>
      <c r="Q7" s="12" t="s">
        <v>125</v>
      </c>
      <c r="R7" s="12" t="s">
        <v>58</v>
      </c>
      <c r="S7" s="12"/>
      <c r="T7" s="12" t="s">
        <v>88</v>
      </c>
      <c r="U7" s="12"/>
      <c r="V7" s="12"/>
    </row>
    <row r="8" spans="2:22" x14ac:dyDescent="0.25">
      <c r="B8" s="14"/>
      <c r="C8" s="14"/>
      <c r="D8" s="14"/>
      <c r="E8" s="14"/>
      <c r="F8" s="14"/>
      <c r="G8" s="14"/>
      <c r="N8" s="37" t="s">
        <v>59</v>
      </c>
      <c r="O8" s="37"/>
      <c r="P8" s="37" t="s">
        <v>126</v>
      </c>
      <c r="Q8" s="37" t="s">
        <v>127</v>
      </c>
      <c r="R8" s="37" t="s">
        <v>58</v>
      </c>
      <c r="S8" s="12"/>
      <c r="T8" s="12" t="s">
        <v>88</v>
      </c>
      <c r="U8" s="12"/>
      <c r="V8" s="12"/>
    </row>
    <row r="9" spans="2:22" x14ac:dyDescent="0.25">
      <c r="B9" s="14"/>
      <c r="C9" s="14"/>
      <c r="D9" s="14"/>
      <c r="E9" s="14"/>
      <c r="F9" s="14"/>
      <c r="G9" s="14"/>
      <c r="H9" s="14"/>
      <c r="N9" s="37"/>
      <c r="O9" s="37"/>
      <c r="P9" s="37"/>
      <c r="Q9" s="37"/>
      <c r="R9" s="37"/>
      <c r="S9" s="12"/>
      <c r="T9" s="12"/>
      <c r="U9" s="12"/>
      <c r="V9" s="12"/>
    </row>
    <row r="10" spans="2:22" x14ac:dyDescent="0.25">
      <c r="B10" s="14"/>
      <c r="C10" s="14"/>
      <c r="D10" s="14"/>
      <c r="E10" s="14"/>
      <c r="F10" s="14"/>
      <c r="G10" s="14"/>
      <c r="H10" s="14"/>
      <c r="N10" s="14"/>
      <c r="O10" s="14"/>
      <c r="P10" s="14"/>
      <c r="Q10" s="14"/>
      <c r="R10" s="14"/>
      <c r="S10" s="12"/>
      <c r="T10" s="12"/>
      <c r="U10" s="12"/>
      <c r="V10" s="12"/>
    </row>
    <row r="11" spans="2:22" s="14" customFormat="1" x14ac:dyDescent="0.25">
      <c r="L11"/>
      <c r="M11"/>
      <c r="N11"/>
      <c r="O11"/>
      <c r="P11"/>
      <c r="Q11"/>
      <c r="R11"/>
      <c r="S11" s="12"/>
      <c r="T11" s="12"/>
      <c r="U11" s="12"/>
      <c r="V11" s="12"/>
    </row>
    <row r="12" spans="2:22" s="14" customFormat="1" x14ac:dyDescent="0.25">
      <c r="L12"/>
      <c r="M12"/>
      <c r="N12"/>
      <c r="O12"/>
      <c r="P12"/>
      <c r="Q12"/>
      <c r="R12"/>
      <c r="S12" s="12"/>
      <c r="T12" s="7"/>
      <c r="U12" s="7"/>
      <c r="V12" s="7"/>
    </row>
    <row r="13" spans="2:22" s="14" customFormat="1" x14ac:dyDescent="0.25">
      <c r="B13"/>
      <c r="C13"/>
      <c r="D13"/>
      <c r="E13"/>
      <c r="F13"/>
      <c r="G13"/>
      <c r="H13"/>
      <c r="L13"/>
      <c r="M13"/>
      <c r="N13"/>
      <c r="O13"/>
      <c r="P13"/>
      <c r="Q13"/>
      <c r="R13"/>
      <c r="S13"/>
      <c r="T13"/>
      <c r="U13"/>
      <c r="V13"/>
    </row>
    <row r="14" spans="2:22" s="14" customFormat="1" x14ac:dyDescent="0.25">
      <c r="B14"/>
      <c r="C14"/>
      <c r="D14"/>
      <c r="E14"/>
      <c r="F14"/>
      <c r="G14"/>
      <c r="H14"/>
      <c r="L14"/>
      <c r="M14"/>
      <c r="N14" s="7"/>
      <c r="O14" s="10"/>
      <c r="P14" s="7"/>
      <c r="Q14" s="7"/>
      <c r="R14" s="7"/>
      <c r="S14" s="7"/>
      <c r="T14" s="7"/>
      <c r="U14" s="7"/>
      <c r="V14" s="7"/>
    </row>
    <row r="15" spans="2:22" x14ac:dyDescent="0.25">
      <c r="N15" s="7"/>
      <c r="O15" s="10"/>
      <c r="P15" s="7"/>
      <c r="Q15" s="7"/>
      <c r="R15" s="7"/>
      <c r="S15" s="7"/>
      <c r="T15" s="7"/>
      <c r="U15" s="7"/>
      <c r="V15" s="7"/>
    </row>
    <row r="16" spans="2:22" x14ac:dyDescent="0.25">
      <c r="N16" s="7"/>
      <c r="O16" s="10"/>
      <c r="P16" s="7"/>
      <c r="Q16" s="7"/>
      <c r="R16" s="7"/>
      <c r="S16" s="7"/>
      <c r="T16" s="7"/>
      <c r="U16" s="7"/>
      <c r="V16" s="7"/>
    </row>
    <row r="17" spans="2:22" x14ac:dyDescent="0.25">
      <c r="N17" s="7"/>
      <c r="O17" s="10"/>
      <c r="P17" s="7"/>
      <c r="Q17" s="7"/>
      <c r="R17" s="7"/>
      <c r="S17" s="7"/>
      <c r="T17" s="7"/>
      <c r="U17" s="7"/>
      <c r="V17" s="7"/>
    </row>
    <row r="18" spans="2:22" x14ac:dyDescent="0.25">
      <c r="N18" s="7"/>
      <c r="O18" s="10"/>
      <c r="P18" s="7"/>
      <c r="Q18" s="7"/>
      <c r="R18" s="7"/>
      <c r="S18" s="7"/>
      <c r="T18" s="7"/>
      <c r="U18" s="7"/>
      <c r="V18" s="7"/>
    </row>
    <row r="19" spans="2:22" x14ac:dyDescent="0.25">
      <c r="N19" s="7"/>
      <c r="O19" s="10"/>
      <c r="P19" s="7"/>
      <c r="Q19" s="7"/>
      <c r="R19" s="7"/>
      <c r="S19" s="7"/>
      <c r="T19" s="7"/>
      <c r="U19" s="7"/>
      <c r="V19" s="7"/>
    </row>
    <row r="20" spans="2:22" x14ac:dyDescent="0.25">
      <c r="N20" s="7"/>
      <c r="O20" s="10"/>
      <c r="P20" s="7"/>
      <c r="Q20" s="7"/>
      <c r="R20" s="7"/>
      <c r="S20" s="7"/>
      <c r="T20" s="7"/>
      <c r="U20" s="7"/>
      <c r="V20" s="7"/>
    </row>
    <row r="21" spans="2:22" x14ac:dyDescent="0.25">
      <c r="N21" s="1"/>
      <c r="P21" s="1"/>
      <c r="Q21" s="1"/>
      <c r="R21" s="1"/>
      <c r="S21" s="1"/>
      <c r="T21" s="1"/>
      <c r="U21" s="1"/>
      <c r="V21" s="1"/>
    </row>
    <row r="22" spans="2:22" x14ac:dyDescent="0.25">
      <c r="F22" s="2" t="s">
        <v>0</v>
      </c>
      <c r="G22" s="2"/>
      <c r="N22" s="6" t="s">
        <v>17</v>
      </c>
      <c r="O22" s="6"/>
      <c r="P22" s="10"/>
      <c r="Q22" s="10"/>
      <c r="R22" s="10"/>
      <c r="S22" s="10"/>
      <c r="T22" s="10"/>
      <c r="U22" s="10"/>
      <c r="V22" s="10"/>
    </row>
    <row r="23" spans="2:22" x14ac:dyDescent="0.25">
      <c r="B23" s="15" t="s">
        <v>1</v>
      </c>
      <c r="C23" s="16" t="s">
        <v>3</v>
      </c>
      <c r="D23" s="15" t="s">
        <v>4</v>
      </c>
      <c r="E23" s="15" t="s">
        <v>55</v>
      </c>
      <c r="F23" s="15" t="s">
        <v>16</v>
      </c>
      <c r="G23" s="15" t="s">
        <v>34</v>
      </c>
      <c r="H23" s="17" t="s">
        <v>47</v>
      </c>
      <c r="I23" s="17" t="s">
        <v>76</v>
      </c>
      <c r="J23" s="17" t="s">
        <v>77</v>
      </c>
      <c r="K23" s="17" t="s">
        <v>56</v>
      </c>
      <c r="N23" s="8" t="s">
        <v>15</v>
      </c>
      <c r="O23" s="9" t="s">
        <v>42</v>
      </c>
      <c r="P23" s="8" t="s">
        <v>1</v>
      </c>
      <c r="Q23" s="8" t="s">
        <v>2</v>
      </c>
      <c r="R23" s="8" t="s">
        <v>18</v>
      </c>
      <c r="S23" s="8" t="s">
        <v>19</v>
      </c>
      <c r="T23" s="8" t="s">
        <v>20</v>
      </c>
      <c r="U23" s="8" t="s">
        <v>21</v>
      </c>
      <c r="V23" s="8" t="s">
        <v>22</v>
      </c>
    </row>
    <row r="24" spans="2:22" ht="21.6" thickBot="1" x14ac:dyDescent="0.3">
      <c r="B24" s="18" t="s">
        <v>48</v>
      </c>
      <c r="C24" s="18" t="s">
        <v>32</v>
      </c>
      <c r="D24" s="18" t="s">
        <v>33</v>
      </c>
      <c r="E24" s="18" t="s">
        <v>54</v>
      </c>
      <c r="F24" s="18" t="s">
        <v>35</v>
      </c>
      <c r="G24" s="18" t="s">
        <v>49</v>
      </c>
      <c r="H24" s="18" t="s">
        <v>57</v>
      </c>
      <c r="I24" s="18" t="s">
        <v>78</v>
      </c>
      <c r="J24" s="18" t="s">
        <v>79</v>
      </c>
      <c r="K24" s="19" t="s">
        <v>80</v>
      </c>
      <c r="N24" s="13" t="s">
        <v>50</v>
      </c>
      <c r="O24" s="13" t="s">
        <v>44</v>
      </c>
      <c r="P24" s="13" t="s">
        <v>27</v>
      </c>
      <c r="Q24" s="13" t="s">
        <v>28</v>
      </c>
      <c r="R24" s="13" t="s">
        <v>29</v>
      </c>
      <c r="S24" s="13" t="s">
        <v>30</v>
      </c>
      <c r="T24" s="13" t="s">
        <v>51</v>
      </c>
      <c r="U24" s="13" t="s">
        <v>52</v>
      </c>
      <c r="V24" s="13" t="s">
        <v>31</v>
      </c>
    </row>
    <row r="25" spans="2:22" ht="21.6" thickBot="1" x14ac:dyDescent="0.3">
      <c r="B25" s="18" t="s">
        <v>53</v>
      </c>
      <c r="C25" s="20"/>
      <c r="D25" s="20"/>
      <c r="E25" s="20"/>
      <c r="F25" s="20"/>
      <c r="G25" s="20"/>
      <c r="H25" s="20" t="s">
        <v>54</v>
      </c>
      <c r="I25" s="20" t="s">
        <v>115</v>
      </c>
      <c r="J25" s="20" t="s">
        <v>58</v>
      </c>
      <c r="K25" s="21"/>
      <c r="N25" s="13" t="s">
        <v>81</v>
      </c>
      <c r="O25" s="22" t="s">
        <v>108</v>
      </c>
      <c r="P25" s="22"/>
      <c r="Q25" s="22"/>
      <c r="R25" s="22"/>
      <c r="S25" s="22"/>
      <c r="T25" s="22"/>
      <c r="U25" s="22"/>
      <c r="V25" s="22"/>
    </row>
    <row r="26" spans="2:22" x14ac:dyDescent="0.25">
      <c r="B26" s="7" t="str">
        <f>P26</f>
        <v>MINBIO</v>
      </c>
      <c r="C26" s="10"/>
      <c r="D26" s="7" t="str">
        <f>P5</f>
        <v>MANBIOMIN</v>
      </c>
      <c r="E26" s="1">
        <v>2030</v>
      </c>
      <c r="F26" s="1">
        <v>1</v>
      </c>
      <c r="G26" s="1">
        <v>1</v>
      </c>
      <c r="H26" s="1">
        <v>50</v>
      </c>
      <c r="I26" s="24">
        <v>17.166319999999999</v>
      </c>
      <c r="J26" s="25"/>
      <c r="K26" s="26">
        <v>8.76</v>
      </c>
      <c r="N26" s="38" t="s">
        <v>64</v>
      </c>
      <c r="O26" s="38"/>
      <c r="P26" s="39" t="s">
        <v>106</v>
      </c>
      <c r="Q26" s="40" t="str">
        <f>"Domestic Supply of "&amp;$D$4&amp;" "</f>
        <v xml:space="preserve">Domestic Supply of Biomass </v>
      </c>
      <c r="R26" s="38" t="s">
        <v>58</v>
      </c>
      <c r="S26" s="38"/>
      <c r="T26" s="12" t="s">
        <v>88</v>
      </c>
    </row>
    <row r="27" spans="2:22" x14ac:dyDescent="0.25">
      <c r="B27" s="7" t="str">
        <f>P27</f>
        <v>MINGAS</v>
      </c>
      <c r="C27" s="10"/>
      <c r="D27" s="7" t="str">
        <f>P6</f>
        <v>MANGASMIN</v>
      </c>
      <c r="E27" s="1">
        <v>2030</v>
      </c>
      <c r="F27" s="1">
        <v>1</v>
      </c>
      <c r="G27" s="1">
        <v>1</v>
      </c>
      <c r="H27" s="1">
        <v>50</v>
      </c>
      <c r="I27" s="28">
        <v>33.817659999999997</v>
      </c>
      <c r="J27" s="29"/>
      <c r="K27" s="26">
        <v>8.76</v>
      </c>
      <c r="N27" s="38" t="s">
        <v>64</v>
      </c>
      <c r="O27" s="38"/>
      <c r="P27" s="39" t="s">
        <v>107</v>
      </c>
      <c r="Q27" s="40" t="str">
        <f>"Domestic Supply of "&amp;$D$5&amp;" "</f>
        <v xml:space="preserve">Domestic Supply of Ngas </v>
      </c>
      <c r="R27" s="38" t="s">
        <v>58</v>
      </c>
      <c r="S27" s="38"/>
      <c r="T27" s="12" t="s">
        <v>88</v>
      </c>
    </row>
    <row r="28" spans="2:22" x14ac:dyDescent="0.25">
      <c r="B28" s="7" t="str">
        <f t="shared" ref="B28:B29" si="0">P28</f>
        <v>MINWIND</v>
      </c>
      <c r="C28" s="10"/>
      <c r="D28" s="7" t="str">
        <f t="shared" ref="D28:D29" si="1">P7</f>
        <v>WIND</v>
      </c>
      <c r="E28" s="1">
        <v>2030</v>
      </c>
      <c r="F28" s="1"/>
      <c r="G28" s="1">
        <v>1</v>
      </c>
      <c r="H28" s="1">
        <v>100</v>
      </c>
      <c r="I28" s="1">
        <v>0</v>
      </c>
      <c r="K28" s="26">
        <v>8.76</v>
      </c>
      <c r="N28" s="38" t="s">
        <v>64</v>
      </c>
      <c r="P28" s="1" t="s">
        <v>128</v>
      </c>
      <c r="Q28" s="1" t="s">
        <v>131</v>
      </c>
      <c r="R28" s="38" t="s">
        <v>58</v>
      </c>
      <c r="S28" s="38"/>
      <c r="T28" s="12" t="s">
        <v>88</v>
      </c>
    </row>
    <row r="29" spans="2:22" x14ac:dyDescent="0.25">
      <c r="B29" s="7" t="str">
        <f t="shared" si="0"/>
        <v>MINSOLAR</v>
      </c>
      <c r="C29" s="10"/>
      <c r="D29" s="7" t="str">
        <f t="shared" si="1"/>
        <v>SOLAR</v>
      </c>
      <c r="E29" s="1">
        <v>2030</v>
      </c>
      <c r="F29" s="1"/>
      <c r="G29" s="1">
        <v>1</v>
      </c>
      <c r="H29" s="1">
        <v>100</v>
      </c>
      <c r="I29" s="1">
        <v>0</v>
      </c>
      <c r="K29" s="26">
        <v>8.76</v>
      </c>
      <c r="N29" s="38" t="s">
        <v>64</v>
      </c>
      <c r="O29" s="14"/>
      <c r="P29" s="14" t="s">
        <v>129</v>
      </c>
      <c r="Q29" s="14" t="s">
        <v>130</v>
      </c>
      <c r="R29" s="38" t="s">
        <v>58</v>
      </c>
      <c r="S29" s="38"/>
      <c r="T29" s="12" t="s">
        <v>88</v>
      </c>
    </row>
    <row r="30" spans="2:22" x14ac:dyDescent="0.25">
      <c r="B30" s="7"/>
      <c r="C30" s="10"/>
      <c r="D30" s="7"/>
      <c r="E30" s="1"/>
      <c r="F30" s="1"/>
      <c r="G30" s="1"/>
      <c r="H30" s="1"/>
      <c r="N30" s="14"/>
      <c r="O30" s="14"/>
      <c r="P30" s="14"/>
      <c r="Q30" s="14"/>
      <c r="R30" s="38"/>
      <c r="S30" s="38"/>
      <c r="T30" s="38"/>
    </row>
    <row r="31" spans="2:22" x14ac:dyDescent="0.25">
      <c r="B31" s="7"/>
      <c r="C31" s="10"/>
      <c r="D31" s="7"/>
      <c r="E31" s="1"/>
      <c r="F31" s="1"/>
      <c r="G31" s="1"/>
      <c r="H31" s="1"/>
      <c r="N31" s="14"/>
      <c r="O31" s="14"/>
      <c r="P31" s="14"/>
      <c r="Q31" s="14"/>
      <c r="R31" s="38"/>
      <c r="S31" s="38"/>
      <c r="T31" s="38"/>
    </row>
    <row r="32" spans="2:22" x14ac:dyDescent="0.25">
      <c r="B32" s="7"/>
      <c r="C32" s="10"/>
      <c r="D32" s="7"/>
      <c r="E32" s="1"/>
      <c r="F32" s="1"/>
      <c r="G32" s="1"/>
      <c r="H32" s="1"/>
      <c r="N32" s="14"/>
      <c r="O32" s="14"/>
      <c r="P32" s="14"/>
      <c r="Q32" s="14"/>
      <c r="R32" s="38"/>
      <c r="S32" s="38"/>
      <c r="T32" s="38"/>
    </row>
    <row r="33" spans="2:20" x14ac:dyDescent="0.25">
      <c r="B33" s="7"/>
      <c r="C33" s="10"/>
      <c r="D33" s="7"/>
      <c r="E33" s="1"/>
      <c r="F33" s="1"/>
      <c r="G33" s="1"/>
      <c r="H33" s="1"/>
      <c r="N33" s="14"/>
      <c r="O33" s="14"/>
      <c r="P33" s="14"/>
      <c r="Q33" s="14"/>
      <c r="R33" s="38"/>
      <c r="S33" s="38"/>
      <c r="T33" s="38"/>
    </row>
    <row r="34" spans="2:20" x14ac:dyDescent="0.25">
      <c r="B34" s="7"/>
      <c r="C34" s="10"/>
      <c r="D34" s="7"/>
      <c r="E34" s="1"/>
      <c r="F34" s="1"/>
      <c r="G34" s="1"/>
      <c r="H34" s="1"/>
      <c r="N34" s="1"/>
      <c r="P34" s="1"/>
      <c r="Q34" s="1"/>
      <c r="R34" s="38"/>
      <c r="S34" s="38"/>
      <c r="T34" s="38"/>
    </row>
    <row r="35" spans="2:20" x14ac:dyDescent="0.25">
      <c r="B35" s="7"/>
      <c r="C35" s="10"/>
      <c r="D35" s="7"/>
      <c r="E35" s="1"/>
      <c r="F35" s="1"/>
      <c r="G35" s="1"/>
      <c r="H35" s="1"/>
      <c r="N35" s="1"/>
      <c r="P35" s="1"/>
      <c r="Q35" s="1"/>
      <c r="R35" s="38"/>
      <c r="S35" s="38"/>
      <c r="T35" s="38"/>
    </row>
    <row r="36" spans="2:20" x14ac:dyDescent="0.25">
      <c r="B36" s="7"/>
      <c r="C36" s="10"/>
      <c r="D36" s="7"/>
      <c r="E36" s="1"/>
      <c r="F36" s="1"/>
      <c r="G36" s="1"/>
      <c r="H36" s="1"/>
      <c r="N36" s="1"/>
      <c r="P36" s="1"/>
      <c r="Q36" s="1"/>
      <c r="R36" s="38"/>
      <c r="S36" s="38"/>
      <c r="T36" s="38"/>
    </row>
    <row r="37" spans="2:20" x14ac:dyDescent="0.25">
      <c r="N37" s="1"/>
      <c r="P37" s="1"/>
      <c r="Q37" s="1"/>
    </row>
    <row r="38" spans="2:20" x14ac:dyDescent="0.25">
      <c r="B38" s="12"/>
      <c r="C38" s="12"/>
      <c r="D38" s="12"/>
      <c r="E38" s="14"/>
      <c r="F38" s="14"/>
      <c r="G38" s="14"/>
      <c r="H38" s="14"/>
      <c r="N38" s="1"/>
      <c r="P38" s="1"/>
      <c r="Q38" s="1"/>
      <c r="R38" s="14"/>
      <c r="S38" s="14"/>
      <c r="T38" s="14"/>
    </row>
    <row r="39" spans="2:20" x14ac:dyDescent="0.25">
      <c r="B39" s="12"/>
      <c r="C39" s="12"/>
      <c r="D39" s="12"/>
      <c r="E39" s="14"/>
      <c r="F39" s="14"/>
      <c r="G39" s="14"/>
      <c r="H39" s="14"/>
      <c r="N39" s="1"/>
      <c r="P39" s="1"/>
      <c r="Q39" s="1"/>
      <c r="R39" s="14"/>
      <c r="S39" s="14"/>
      <c r="T39" s="14"/>
    </row>
    <row r="40" spans="2:20" x14ac:dyDescent="0.25">
      <c r="B40" s="12"/>
      <c r="C40" s="12"/>
      <c r="D40" s="12"/>
      <c r="E40" s="14"/>
      <c r="F40" s="14"/>
      <c r="G40" s="14"/>
      <c r="H40" s="14"/>
      <c r="N40" s="1"/>
      <c r="P40" s="1"/>
      <c r="Q40" s="1"/>
      <c r="R40" s="14"/>
      <c r="S40" s="14"/>
      <c r="T40" s="14"/>
    </row>
    <row r="41" spans="2:20" x14ac:dyDescent="0.25">
      <c r="B41" s="12"/>
      <c r="C41" s="12"/>
      <c r="D41" s="12"/>
      <c r="E41" s="14"/>
      <c r="F41" s="14"/>
      <c r="G41" s="14"/>
      <c r="H41" s="14"/>
      <c r="N41" s="1"/>
      <c r="P41" s="1"/>
      <c r="Q41" s="1"/>
      <c r="R41" s="14"/>
      <c r="S41" s="14"/>
      <c r="T41" s="14"/>
    </row>
    <row r="42" spans="2:20" x14ac:dyDescent="0.25">
      <c r="B42" s="12"/>
      <c r="C42" s="12"/>
      <c r="D42" s="12"/>
      <c r="E42" s="14"/>
      <c r="F42" s="14"/>
      <c r="G42" s="14"/>
      <c r="H42" s="14"/>
      <c r="N42" s="1"/>
      <c r="P42" s="1"/>
      <c r="Q42" s="1"/>
      <c r="R42" s="14"/>
      <c r="S42" s="14"/>
      <c r="T42" s="14"/>
    </row>
    <row r="43" spans="2:20" x14ac:dyDescent="0.25">
      <c r="B43" s="7"/>
      <c r="C43" s="10"/>
      <c r="D43" s="7"/>
      <c r="E43" s="1"/>
      <c r="F43" s="1"/>
      <c r="G43" s="1"/>
      <c r="N43" s="1"/>
      <c r="P43" s="1"/>
      <c r="Q43" s="1"/>
    </row>
    <row r="44" spans="2:20" x14ac:dyDescent="0.25">
      <c r="B44" s="7"/>
      <c r="C44" s="10"/>
      <c r="D44" s="7"/>
      <c r="E44" s="1"/>
      <c r="F44" s="1"/>
      <c r="G44" s="1"/>
      <c r="N44" s="1"/>
      <c r="P44" s="1"/>
      <c r="Q44" s="1"/>
    </row>
    <row r="45" spans="2:20" x14ac:dyDescent="0.25">
      <c r="B45" s="7"/>
      <c r="C45" s="10"/>
      <c r="D45" s="7"/>
      <c r="E45" s="1"/>
      <c r="F45" s="1"/>
      <c r="G45" s="1"/>
    </row>
    <row r="46" spans="2:20" x14ac:dyDescent="0.25">
      <c r="B46" s="7"/>
      <c r="C46" s="1"/>
      <c r="D46" s="7"/>
      <c r="E46" s="1"/>
      <c r="F46" s="1"/>
      <c r="G46" s="1"/>
    </row>
    <row r="47" spans="2:20" x14ac:dyDescent="0.25">
      <c r="B47" s="5"/>
      <c r="C47" s="7"/>
      <c r="D47" s="7"/>
      <c r="E47" s="1"/>
      <c r="F47" s="1"/>
      <c r="G47" s="1"/>
    </row>
    <row r="48" spans="2:20" x14ac:dyDescent="0.25">
      <c r="B48" s="5"/>
      <c r="C48" s="7"/>
      <c r="D48" s="7"/>
      <c r="E48" s="1"/>
      <c r="F48" s="1"/>
      <c r="G48" s="1"/>
    </row>
    <row r="49" spans="2:17" x14ac:dyDescent="0.25">
      <c r="B49" s="5"/>
      <c r="C49" s="7"/>
      <c r="D49" s="7"/>
      <c r="E49" s="1"/>
      <c r="F49" s="1"/>
      <c r="G49" s="1"/>
      <c r="N49" s="14"/>
      <c r="O49" s="14"/>
      <c r="P49" s="14"/>
      <c r="Q49" s="14"/>
    </row>
    <row r="50" spans="2:17" x14ac:dyDescent="0.25">
      <c r="B50" s="5"/>
      <c r="C50" s="1"/>
      <c r="D50" s="7"/>
      <c r="E50" s="1"/>
      <c r="F50" s="1"/>
      <c r="G50" s="1"/>
      <c r="N50" s="14"/>
      <c r="O50" s="14"/>
      <c r="P50" s="14"/>
      <c r="Q50" s="14"/>
    </row>
    <row r="51" spans="2:17" x14ac:dyDescent="0.25">
      <c r="B51" s="7"/>
      <c r="C51" s="1"/>
      <c r="D51" s="7"/>
      <c r="E51" s="1"/>
      <c r="F51" s="1"/>
      <c r="G51" s="1"/>
      <c r="N51" s="14"/>
      <c r="O51" s="14"/>
      <c r="P51" s="14"/>
      <c r="Q51" s="14"/>
    </row>
    <row r="52" spans="2:17" x14ac:dyDescent="0.25">
      <c r="B52" s="7"/>
      <c r="C52" s="1"/>
      <c r="D52" s="7"/>
      <c r="E52" s="1"/>
      <c r="F52" s="1"/>
      <c r="G52" s="1"/>
      <c r="N52" s="14"/>
      <c r="O52" s="14"/>
      <c r="P52" s="14"/>
      <c r="Q52" s="14"/>
    </row>
    <row r="53" spans="2:17" x14ac:dyDescent="0.25">
      <c r="B53" s="7"/>
      <c r="D53" s="7"/>
      <c r="E53" s="1"/>
      <c r="F53" s="1"/>
      <c r="G53" s="1"/>
      <c r="N53" s="14"/>
      <c r="O53" s="14"/>
      <c r="P53" s="14"/>
      <c r="Q53" s="14"/>
    </row>
    <row r="54" spans="2:17" x14ac:dyDescent="0.25">
      <c r="P54" s="10"/>
      <c r="Q54" s="27"/>
    </row>
    <row r="55" spans="2:17" x14ac:dyDescent="0.25">
      <c r="B55" s="23"/>
      <c r="C55" s="1" t="s">
        <v>82</v>
      </c>
    </row>
    <row r="56" spans="2:17" x14ac:dyDescent="0.25">
      <c r="B56" s="30"/>
      <c r="C56" s="1" t="s">
        <v>83</v>
      </c>
    </row>
    <row r="65" spans="1:23" s="1" customFormat="1" x14ac:dyDescent="0.2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</row>
    <row r="66" spans="1:23" x14ac:dyDescent="0.25">
      <c r="W66" s="1"/>
    </row>
    <row r="67" spans="1:23" x14ac:dyDescent="0.25">
      <c r="A67" s="1"/>
    </row>
  </sheetData>
  <pageMargins left="0.75" right="0.75" top="1" bottom="1" header="0.5" footer="0.5"/>
  <pageSetup orientation="portrait" horizontalDpi="4294967292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0854E-4C4D-467D-BD8A-32231E61C6CE}">
  <dimension ref="A1:AY156"/>
  <sheetViews>
    <sheetView tabSelected="1" topLeftCell="AJ17" zoomScale="118" zoomScaleNormal="118" workbookViewId="0">
      <selection activeCell="K61" sqref="K61"/>
    </sheetView>
  </sheetViews>
  <sheetFormatPr defaultColWidth="8.77734375" defaultRowHeight="13.2" x14ac:dyDescent="0.25"/>
  <cols>
    <col min="1" max="1" width="3" style="46" customWidth="1"/>
    <col min="2" max="2" width="12.21875" style="46" bestFit="1" customWidth="1"/>
    <col min="3" max="3" width="25.77734375" style="46" customWidth="1"/>
    <col min="4" max="4" width="13.77734375" style="46" bestFit="1" customWidth="1"/>
    <col min="5" max="5" width="20" style="46" bestFit="1" customWidth="1"/>
    <col min="6" max="6" width="13.21875" style="46" bestFit="1" customWidth="1"/>
    <col min="7" max="7" width="9.5546875" style="46" bestFit="1" customWidth="1"/>
    <col min="8" max="8" width="7.77734375" style="46" bestFit="1" customWidth="1"/>
    <col min="9" max="9" width="8.21875" style="46" customWidth="1"/>
    <col min="10" max="10" width="12.77734375" style="46" bestFit="1" customWidth="1"/>
    <col min="11" max="12" width="8.21875" style="46" customWidth="1"/>
    <col min="13" max="13" width="10.21875" style="46" bestFit="1" customWidth="1"/>
    <col min="14" max="19" width="8.21875" style="46" customWidth="1"/>
    <col min="20" max="21" width="8.21875" style="47" customWidth="1"/>
    <col min="22" max="22" width="12.77734375" style="46" bestFit="1" customWidth="1"/>
    <col min="23" max="23" width="7.21875" style="46" customWidth="1"/>
    <col min="24" max="24" width="11.44140625" style="46" bestFit="1" customWidth="1"/>
    <col min="25" max="25" width="63.77734375" style="46" bestFit="1" customWidth="1"/>
    <col min="26" max="26" width="8.21875" style="46" bestFit="1" customWidth="1"/>
    <col min="27" max="27" width="11.77734375" style="46" customWidth="1"/>
    <col min="28" max="28" width="13.44140625" style="46" customWidth="1"/>
    <col min="29" max="29" width="13.77734375" style="46" customWidth="1"/>
    <col min="30" max="30" width="8.44140625" style="46" customWidth="1"/>
    <col min="31" max="35" width="8.77734375" style="46"/>
    <col min="36" max="36" width="25.21875" style="46" bestFit="1" customWidth="1"/>
    <col min="37" max="37" width="16" style="46" bestFit="1" customWidth="1"/>
    <col min="38" max="40" width="8.77734375" style="46"/>
    <col min="41" max="41" width="13.21875" style="46" bestFit="1" customWidth="1"/>
    <col min="42" max="43" width="8.77734375" style="46"/>
    <col min="44" max="44" width="25.21875" style="46" bestFit="1" customWidth="1"/>
    <col min="45" max="16384" width="8.77734375" style="46"/>
  </cols>
  <sheetData>
    <row r="1" spans="2:31" ht="14.4" x14ac:dyDescent="0.3">
      <c r="B1" s="45" t="s">
        <v>38</v>
      </c>
      <c r="C1" s="45" t="s">
        <v>39</v>
      </c>
      <c r="D1" s="45" t="s">
        <v>40</v>
      </c>
      <c r="E1" s="45" t="s">
        <v>71</v>
      </c>
      <c r="F1" s="45" t="s">
        <v>41</v>
      </c>
      <c r="G1" s="45"/>
      <c r="H1" s="45" t="s">
        <v>84</v>
      </c>
    </row>
    <row r="2" spans="2:31" ht="31.2" x14ac:dyDescent="0.3">
      <c r="B2" s="48" t="s">
        <v>95</v>
      </c>
      <c r="C2" s="48" t="s">
        <v>96</v>
      </c>
      <c r="D2" s="49" t="str">
        <f>"Demand Technologies"</f>
        <v>Demand Technologies</v>
      </c>
      <c r="E2" s="48" t="s">
        <v>58</v>
      </c>
      <c r="F2" s="48" t="s">
        <v>116</v>
      </c>
      <c r="G2" s="48"/>
      <c r="H2" s="48" t="s">
        <v>94</v>
      </c>
      <c r="V2" s="50" t="s">
        <v>7</v>
      </c>
      <c r="W2" s="50"/>
      <c r="X2" s="51"/>
      <c r="Y2" s="51"/>
      <c r="Z2" s="51"/>
      <c r="AA2" s="51"/>
      <c r="AB2" s="51"/>
      <c r="AC2" s="51"/>
      <c r="AD2" s="51"/>
    </row>
    <row r="3" spans="2:31" x14ac:dyDescent="0.25">
      <c r="V3" s="52" t="s">
        <v>8</v>
      </c>
      <c r="W3" s="53" t="s">
        <v>42</v>
      </c>
      <c r="X3" s="52" t="s">
        <v>6</v>
      </c>
      <c r="Y3" s="52" t="s">
        <v>9</v>
      </c>
      <c r="Z3" s="52" t="s">
        <v>10</v>
      </c>
      <c r="AA3" s="52" t="s">
        <v>11</v>
      </c>
      <c r="AB3" s="52" t="s">
        <v>12</v>
      </c>
      <c r="AC3" s="52" t="s">
        <v>13</v>
      </c>
      <c r="AD3" s="52" t="s">
        <v>14</v>
      </c>
    </row>
    <row r="4" spans="2:31" ht="22.2" thickBot="1" x14ac:dyDescent="0.35">
      <c r="B4" s="54"/>
      <c r="C4" s="54"/>
      <c r="D4" s="54"/>
      <c r="E4" s="54"/>
      <c r="F4" s="54"/>
      <c r="G4" s="54"/>
      <c r="V4" s="31" t="s">
        <v>43</v>
      </c>
      <c r="W4" s="31" t="s">
        <v>44</v>
      </c>
      <c r="X4" s="31" t="s">
        <v>23</v>
      </c>
      <c r="Y4" s="31" t="s">
        <v>24</v>
      </c>
      <c r="Z4" s="31" t="s">
        <v>10</v>
      </c>
      <c r="AA4" s="31" t="s">
        <v>45</v>
      </c>
      <c r="AB4" s="31" t="s">
        <v>46</v>
      </c>
      <c r="AC4" s="31" t="s">
        <v>25</v>
      </c>
      <c r="AD4" s="31" t="s">
        <v>26</v>
      </c>
    </row>
    <row r="5" spans="2:31" ht="15.6" x14ac:dyDescent="0.3">
      <c r="B5" s="54"/>
      <c r="C5" s="54"/>
      <c r="D5" s="54"/>
      <c r="E5" s="54"/>
      <c r="F5" s="54"/>
      <c r="G5" s="54"/>
      <c r="V5" s="79" t="s">
        <v>69</v>
      </c>
      <c r="X5" s="46" t="s">
        <v>140</v>
      </c>
      <c r="Y5" s="79" t="s">
        <v>141</v>
      </c>
      <c r="Z5" s="79" t="s">
        <v>58</v>
      </c>
      <c r="AB5" s="79" t="s">
        <v>88</v>
      </c>
    </row>
    <row r="6" spans="2:31" ht="15.6" x14ac:dyDescent="0.3">
      <c r="B6" s="54"/>
      <c r="C6" s="54"/>
      <c r="D6" s="54"/>
      <c r="E6" s="54"/>
      <c r="F6" s="54"/>
      <c r="G6" s="54"/>
      <c r="V6" s="79" t="s">
        <v>69</v>
      </c>
      <c r="X6" s="46" t="s">
        <v>139</v>
      </c>
      <c r="Y6" s="79" t="s">
        <v>142</v>
      </c>
      <c r="Z6" s="79" t="s">
        <v>58</v>
      </c>
      <c r="AB6" s="79" t="s">
        <v>88</v>
      </c>
    </row>
    <row r="7" spans="2:31" ht="15.6" x14ac:dyDescent="0.3">
      <c r="B7" s="54"/>
      <c r="C7" s="54"/>
      <c r="D7" s="54"/>
      <c r="E7" s="54"/>
      <c r="F7" s="54"/>
      <c r="G7" s="54"/>
      <c r="V7" s="46" t="s">
        <v>69</v>
      </c>
      <c r="X7" s="46" t="s">
        <v>145</v>
      </c>
      <c r="Y7" s="46" t="s">
        <v>146</v>
      </c>
      <c r="Z7" s="79" t="s">
        <v>58</v>
      </c>
      <c r="AB7" s="79" t="s">
        <v>88</v>
      </c>
    </row>
    <row r="8" spans="2:31" ht="15.6" x14ac:dyDescent="0.3">
      <c r="B8" s="54"/>
      <c r="C8" s="54"/>
      <c r="D8" s="54"/>
      <c r="E8" s="54"/>
      <c r="F8" s="54"/>
      <c r="G8" s="54"/>
    </row>
    <row r="9" spans="2:31" ht="15.6" x14ac:dyDescent="0.3">
      <c r="B9" s="54"/>
      <c r="C9" s="54"/>
      <c r="D9" s="54"/>
      <c r="E9" s="54"/>
      <c r="F9" s="54"/>
      <c r="G9" s="54"/>
    </row>
    <row r="10" spans="2:31" ht="15.6" x14ac:dyDescent="0.3">
      <c r="B10" s="54"/>
      <c r="C10" s="54"/>
      <c r="D10" s="54"/>
      <c r="E10" s="54"/>
      <c r="F10" s="54"/>
      <c r="G10" s="54"/>
    </row>
    <row r="11" spans="2:31" ht="15.6" x14ac:dyDescent="0.3">
      <c r="B11" s="54"/>
      <c r="C11" s="54"/>
      <c r="D11" s="54"/>
      <c r="E11" s="54"/>
      <c r="F11" s="54"/>
      <c r="G11" s="54"/>
      <c r="V11" s="42"/>
      <c r="W11" s="42"/>
      <c r="X11" s="42"/>
      <c r="Y11" s="42"/>
      <c r="Z11" s="42"/>
      <c r="AA11" s="41"/>
      <c r="AB11" s="64"/>
      <c r="AC11" s="41"/>
      <c r="AD11" s="41"/>
    </row>
    <row r="12" spans="2:31" ht="15.6" x14ac:dyDescent="0.3">
      <c r="B12" s="54"/>
      <c r="C12" s="54"/>
      <c r="D12" s="54"/>
      <c r="E12" s="54"/>
      <c r="F12" s="54"/>
      <c r="G12" s="54"/>
      <c r="V12" s="42"/>
      <c r="W12" s="42"/>
      <c r="X12" s="42"/>
      <c r="Y12" s="42"/>
      <c r="Z12" s="42"/>
      <c r="AA12" s="55"/>
      <c r="AB12" s="64"/>
      <c r="AC12" s="55"/>
      <c r="AD12" s="55"/>
      <c r="AE12" s="47"/>
    </row>
    <row r="13" spans="2:31" ht="15.6" x14ac:dyDescent="0.3">
      <c r="B13" s="54"/>
      <c r="C13" s="54"/>
      <c r="D13" s="54"/>
      <c r="E13" s="54"/>
      <c r="F13" s="54"/>
      <c r="G13" s="54"/>
      <c r="V13" s="43"/>
      <c r="W13" s="43"/>
      <c r="X13" s="43"/>
      <c r="Y13" s="43"/>
      <c r="Z13" s="43"/>
      <c r="AA13" s="55"/>
      <c r="AB13" s="64"/>
      <c r="AC13" s="55"/>
      <c r="AD13" s="55"/>
      <c r="AE13" s="47"/>
    </row>
    <row r="14" spans="2:31" ht="15.6" x14ac:dyDescent="0.3">
      <c r="B14" s="54"/>
      <c r="C14" s="54"/>
      <c r="D14" s="54"/>
      <c r="E14" s="54"/>
      <c r="F14" s="54"/>
      <c r="G14" s="54"/>
      <c r="V14" s="79"/>
      <c r="W14" s="79"/>
      <c r="X14" s="79"/>
      <c r="Y14" s="79"/>
      <c r="Z14" s="79"/>
      <c r="AA14" s="79"/>
      <c r="AB14" s="79"/>
      <c r="AC14" s="79"/>
      <c r="AD14" s="79"/>
      <c r="AE14" s="47"/>
    </row>
    <row r="15" spans="2:31" s="79" customFormat="1" ht="15.6" x14ac:dyDescent="0.3">
      <c r="B15" s="78"/>
      <c r="C15" s="78"/>
      <c r="D15" s="78"/>
      <c r="E15" s="78"/>
      <c r="F15" s="78"/>
      <c r="G15" s="78"/>
      <c r="T15" s="80"/>
      <c r="U15" s="80"/>
      <c r="AE15" s="80"/>
    </row>
    <row r="16" spans="2:31" s="79" customFormat="1" ht="15.6" x14ac:dyDescent="0.3">
      <c r="B16" s="78"/>
      <c r="C16" s="78"/>
      <c r="D16" s="78"/>
      <c r="E16" s="78"/>
      <c r="F16" s="78"/>
      <c r="G16" s="78"/>
      <c r="T16" s="80"/>
      <c r="U16" s="80"/>
      <c r="V16" s="46"/>
      <c r="W16" s="46"/>
      <c r="X16" s="46"/>
      <c r="Y16" s="46"/>
      <c r="Z16" s="46"/>
      <c r="AA16" s="46"/>
      <c r="AB16" s="46"/>
      <c r="AC16" s="46"/>
      <c r="AD16" s="46"/>
      <c r="AE16" s="80"/>
    </row>
    <row r="17" spans="2:51" ht="15.6" x14ac:dyDescent="0.3">
      <c r="B17" s="54"/>
      <c r="C17" s="54"/>
      <c r="D17" s="54"/>
      <c r="E17" s="54"/>
      <c r="F17" s="54"/>
      <c r="G17" s="54"/>
      <c r="AE17" s="47"/>
    </row>
    <row r="18" spans="2:51" x14ac:dyDescent="0.25">
      <c r="AE18" s="47"/>
    </row>
    <row r="19" spans="2:51" x14ac:dyDescent="0.25">
      <c r="V19" s="51"/>
      <c r="W19" s="51"/>
      <c r="X19" s="51"/>
      <c r="Y19" s="51"/>
      <c r="Z19" s="51"/>
      <c r="AA19" s="51"/>
      <c r="AB19" s="51"/>
      <c r="AC19" s="51"/>
      <c r="AD19" s="51"/>
    </row>
    <row r="20" spans="2:51" x14ac:dyDescent="0.25">
      <c r="V20" s="51"/>
      <c r="W20" s="51"/>
      <c r="X20" s="51"/>
      <c r="Y20" s="51"/>
      <c r="Z20" s="51"/>
      <c r="AA20" s="51"/>
      <c r="AB20" s="51"/>
      <c r="AC20" s="51"/>
      <c r="AD20" s="51"/>
    </row>
    <row r="22" spans="2:51" x14ac:dyDescent="0.25">
      <c r="V22" s="50" t="s">
        <v>17</v>
      </c>
      <c r="W22" s="50"/>
      <c r="X22" s="51"/>
      <c r="Y22" s="51"/>
      <c r="Z22" s="51"/>
      <c r="AA22" s="51"/>
      <c r="AB22" s="51"/>
      <c r="AC22" s="51"/>
      <c r="AD22" s="51"/>
    </row>
    <row r="23" spans="2:51" x14ac:dyDescent="0.25">
      <c r="D23" s="56" t="s">
        <v>0</v>
      </c>
      <c r="E23" s="56"/>
      <c r="F23" s="56"/>
      <c r="H23" s="56"/>
      <c r="V23" s="52" t="s">
        <v>15</v>
      </c>
      <c r="W23" s="53" t="s">
        <v>42</v>
      </c>
      <c r="X23" s="52" t="s">
        <v>1</v>
      </c>
      <c r="Y23" s="52" t="s">
        <v>2</v>
      </c>
      <c r="Z23" s="52" t="s">
        <v>18</v>
      </c>
      <c r="AA23" s="52" t="s">
        <v>19</v>
      </c>
      <c r="AB23" s="52" t="s">
        <v>20</v>
      </c>
      <c r="AC23" s="52" t="s">
        <v>21</v>
      </c>
      <c r="AD23" s="52" t="s">
        <v>22</v>
      </c>
      <c r="AI23"/>
      <c r="AJ23" s="39"/>
      <c r="AK23" s="79"/>
      <c r="AL23" s="79"/>
      <c r="AM23" s="79"/>
      <c r="AN23" s="79"/>
      <c r="AO23" s="79"/>
      <c r="AP23" s="79"/>
      <c r="AQ23" s="79"/>
      <c r="AR23" s="79"/>
      <c r="AS23" s="79"/>
      <c r="AT23" s="79"/>
      <c r="AU23" s="79"/>
      <c r="AV23" s="79"/>
      <c r="AW23" s="79"/>
    </row>
    <row r="24" spans="2:51" ht="24" customHeight="1" thickBot="1" x14ac:dyDescent="0.3">
      <c r="B24" s="57" t="s">
        <v>1</v>
      </c>
      <c r="C24" s="57" t="s">
        <v>3</v>
      </c>
      <c r="D24" s="57" t="s">
        <v>4</v>
      </c>
      <c r="E24" s="58" t="s">
        <v>119</v>
      </c>
      <c r="F24" s="58" t="s">
        <v>16</v>
      </c>
      <c r="G24" s="58" t="s">
        <v>34</v>
      </c>
      <c r="H24" s="58" t="s">
        <v>47</v>
      </c>
      <c r="I24" s="58" t="s">
        <v>36</v>
      </c>
      <c r="J24" s="60" t="s">
        <v>5</v>
      </c>
      <c r="K24" s="60" t="s">
        <v>104</v>
      </c>
      <c r="L24" s="58" t="s">
        <v>56</v>
      </c>
      <c r="M24" s="60" t="s">
        <v>109</v>
      </c>
      <c r="N24" s="59" t="s">
        <v>118</v>
      </c>
      <c r="O24" s="60" t="s">
        <v>121</v>
      </c>
      <c r="P24" s="60" t="s">
        <v>122</v>
      </c>
      <c r="Q24" s="60" t="s">
        <v>123</v>
      </c>
      <c r="R24" s="60" t="s">
        <v>124</v>
      </c>
      <c r="S24" s="60" t="s">
        <v>132</v>
      </c>
      <c r="V24" s="31" t="s">
        <v>50</v>
      </c>
      <c r="W24" s="31" t="s">
        <v>44</v>
      </c>
      <c r="X24" s="31" t="s">
        <v>27</v>
      </c>
      <c r="Y24" s="31" t="s">
        <v>28</v>
      </c>
      <c r="Z24" s="31" t="s">
        <v>29</v>
      </c>
      <c r="AA24" s="31" t="s">
        <v>30</v>
      </c>
      <c r="AB24" s="31" t="s">
        <v>51</v>
      </c>
      <c r="AC24" s="31" t="s">
        <v>52</v>
      </c>
      <c r="AD24" s="31" t="s">
        <v>31</v>
      </c>
      <c r="AI24"/>
      <c r="AJ24" s="39"/>
      <c r="AK24" s="79"/>
      <c r="AL24" s="79"/>
      <c r="AM24" s="79"/>
      <c r="AN24" s="79"/>
      <c r="AO24" s="79"/>
      <c r="AP24" s="79"/>
      <c r="AQ24" s="79"/>
      <c r="AR24" s="79"/>
      <c r="AS24" s="79"/>
      <c r="AT24" s="79"/>
      <c r="AU24" s="79"/>
      <c r="AV24" s="79"/>
      <c r="AW24" s="79"/>
      <c r="AY24" s="47"/>
    </row>
    <row r="25" spans="2:51" ht="31.8" thickBot="1" x14ac:dyDescent="0.3">
      <c r="B25" s="32" t="s">
        <v>48</v>
      </c>
      <c r="C25" s="32" t="s">
        <v>32</v>
      </c>
      <c r="D25" s="32" t="s">
        <v>33</v>
      </c>
      <c r="E25" s="32" t="s">
        <v>54</v>
      </c>
      <c r="F25" s="32" t="s">
        <v>35</v>
      </c>
      <c r="G25" s="33" t="s">
        <v>49</v>
      </c>
      <c r="H25" s="32" t="s">
        <v>57</v>
      </c>
      <c r="I25" s="32" t="s">
        <v>86</v>
      </c>
      <c r="J25" s="33" t="s">
        <v>37</v>
      </c>
      <c r="K25" s="33" t="s">
        <v>105</v>
      </c>
      <c r="L25" s="33" t="s">
        <v>80</v>
      </c>
      <c r="M25" s="33" t="s">
        <v>110</v>
      </c>
      <c r="N25" s="32" t="s">
        <v>85</v>
      </c>
      <c r="O25" s="33" t="s">
        <v>120</v>
      </c>
      <c r="P25" s="33" t="s">
        <v>120</v>
      </c>
      <c r="Q25" s="33" t="s">
        <v>120</v>
      </c>
      <c r="R25" s="76" t="s">
        <v>120</v>
      </c>
      <c r="S25" s="76" t="s">
        <v>133</v>
      </c>
      <c r="V25" s="31" t="s">
        <v>81</v>
      </c>
      <c r="W25" s="31"/>
      <c r="X25" s="31"/>
      <c r="Y25" s="31"/>
      <c r="Z25" s="31"/>
      <c r="AA25" s="31"/>
      <c r="AB25" s="31"/>
      <c r="AC25" s="31"/>
      <c r="AD25" s="31"/>
      <c r="AI25"/>
      <c r="AJ25" s="39"/>
      <c r="AY25" s="47"/>
    </row>
    <row r="26" spans="2:51" ht="33.75" customHeight="1" thickBot="1" x14ac:dyDescent="0.3">
      <c r="B26" s="34" t="s">
        <v>53</v>
      </c>
      <c r="C26" s="34"/>
      <c r="D26" s="34"/>
      <c r="E26" s="35"/>
      <c r="F26" s="35"/>
      <c r="G26" s="36"/>
      <c r="H26" s="35" t="s">
        <v>54</v>
      </c>
      <c r="I26" s="35" t="s">
        <v>117</v>
      </c>
      <c r="J26" s="35" t="s">
        <v>117</v>
      </c>
      <c r="K26" s="35" t="s">
        <v>144</v>
      </c>
      <c r="L26" s="36"/>
      <c r="M26" s="36" t="s">
        <v>111</v>
      </c>
      <c r="N26" s="35"/>
      <c r="O26" s="36"/>
      <c r="P26" s="36"/>
      <c r="Q26" s="36"/>
      <c r="R26" s="35"/>
      <c r="S26" s="77"/>
      <c r="V26" s="61" t="s">
        <v>135</v>
      </c>
      <c r="W26" s="61"/>
      <c r="X26" s="62" t="s">
        <v>66</v>
      </c>
      <c r="Y26" s="63" t="s">
        <v>134</v>
      </c>
      <c r="Z26" s="46" t="s">
        <v>58</v>
      </c>
      <c r="AA26" s="46" t="s">
        <v>87</v>
      </c>
      <c r="AB26" s="64" t="s">
        <v>88</v>
      </c>
      <c r="AC26" s="47"/>
      <c r="AD26" s="47"/>
      <c r="AI26"/>
      <c r="AJ26" s="39"/>
      <c r="AY26" s="47"/>
    </row>
    <row r="27" spans="2:51" x14ac:dyDescent="0.25">
      <c r="B27" s="46" t="str">
        <f>X26</f>
        <v>Furnace</v>
      </c>
      <c r="C27" s="46" t="s">
        <v>69</v>
      </c>
      <c r="D27" s="51" t="s">
        <v>113</v>
      </c>
      <c r="E27" s="44">
        <v>2030</v>
      </c>
      <c r="F27" s="65">
        <v>1</v>
      </c>
      <c r="G27" s="65">
        <v>1</v>
      </c>
      <c r="H27" s="44">
        <v>25</v>
      </c>
      <c r="I27" s="65">
        <v>81</v>
      </c>
      <c r="J27" s="65">
        <v>0</v>
      </c>
      <c r="K27" s="65">
        <v>0.24</v>
      </c>
      <c r="L27" s="65">
        <v>8.76</v>
      </c>
      <c r="M27" s="44"/>
      <c r="N27" s="65">
        <v>0.1</v>
      </c>
      <c r="O27" s="65">
        <v>0.15</v>
      </c>
      <c r="P27" s="65">
        <v>0.2</v>
      </c>
      <c r="Q27" s="65">
        <v>0.25</v>
      </c>
      <c r="R27" s="65">
        <v>0.35</v>
      </c>
      <c r="S27" s="44"/>
      <c r="V27" s="61" t="s">
        <v>135</v>
      </c>
      <c r="W27" s="61"/>
      <c r="X27" s="62" t="s">
        <v>98</v>
      </c>
      <c r="Y27" s="63" t="s">
        <v>97</v>
      </c>
      <c r="Z27" s="46" t="s">
        <v>58</v>
      </c>
      <c r="AA27" s="46" t="s">
        <v>87</v>
      </c>
      <c r="AB27" s="64" t="s">
        <v>88</v>
      </c>
      <c r="AC27" s="47"/>
      <c r="AD27" s="47"/>
      <c r="AI27"/>
      <c r="AJ27" s="39"/>
      <c r="AK27" s="79"/>
      <c r="AL27" s="79"/>
      <c r="AM27" s="79"/>
      <c r="AN27" s="79"/>
      <c r="AO27" s="79"/>
      <c r="AP27" s="79"/>
      <c r="AQ27" s="79"/>
      <c r="AR27" s="79"/>
      <c r="AS27" s="79"/>
      <c r="AT27" s="79"/>
      <c r="AU27" s="79"/>
      <c r="AV27" s="79"/>
      <c r="AW27" s="79"/>
      <c r="AY27" s="47"/>
    </row>
    <row r="28" spans="2:51" x14ac:dyDescent="0.25">
      <c r="B28" s="46" t="str">
        <f>X$27</f>
        <v>BIOBoiler</v>
      </c>
      <c r="C28" s="46" t="str">
        <f>PRI_Sector_Fuels!P5</f>
        <v>MANBIOMIN</v>
      </c>
      <c r="D28" s="51" t="s">
        <v>113</v>
      </c>
      <c r="E28" s="44">
        <v>2030</v>
      </c>
      <c r="F28" s="65">
        <v>0.7</v>
      </c>
      <c r="G28" s="65">
        <v>0.98</v>
      </c>
      <c r="H28" s="44">
        <v>25</v>
      </c>
      <c r="I28" s="65">
        <v>797.9</v>
      </c>
      <c r="J28" s="65">
        <v>48.48</v>
      </c>
      <c r="K28" s="65">
        <v>3.75</v>
      </c>
      <c r="L28" s="65">
        <v>8.76</v>
      </c>
      <c r="M28" s="44"/>
      <c r="N28" s="69"/>
      <c r="O28" s="44"/>
      <c r="P28" s="44"/>
      <c r="Q28" s="44"/>
      <c r="R28" s="44"/>
      <c r="S28" s="44"/>
      <c r="V28" s="61" t="s">
        <v>135</v>
      </c>
      <c r="W28" s="61"/>
      <c r="X28" s="62" t="s">
        <v>99</v>
      </c>
      <c r="Y28" s="63" t="s">
        <v>138</v>
      </c>
      <c r="Z28" s="46" t="s">
        <v>58</v>
      </c>
      <c r="AA28" s="46" t="s">
        <v>87</v>
      </c>
      <c r="AB28" s="64" t="s">
        <v>88</v>
      </c>
      <c r="AC28" s="47"/>
      <c r="AD28" s="47"/>
      <c r="AI28"/>
      <c r="AJ28" s="39"/>
      <c r="AK28" s="79"/>
      <c r="AL28" s="79"/>
      <c r="AM28" s="79"/>
      <c r="AN28" s="79"/>
      <c r="AO28" s="79"/>
      <c r="AP28" s="79"/>
      <c r="AQ28" s="79"/>
      <c r="AR28" s="79"/>
      <c r="AS28" s="79"/>
      <c r="AT28" s="79"/>
      <c r="AU28" s="79"/>
      <c r="AV28" s="79"/>
      <c r="AW28" s="79"/>
      <c r="AY28" s="47"/>
    </row>
    <row r="29" spans="2:51" x14ac:dyDescent="0.25">
      <c r="B29" s="46" t="str">
        <f>X30</f>
        <v>ELCBoiler</v>
      </c>
      <c r="C29" s="46" t="s">
        <v>69</v>
      </c>
      <c r="D29" s="51" t="s">
        <v>113</v>
      </c>
      <c r="E29" s="44">
        <v>2030</v>
      </c>
      <c r="F29" s="65">
        <v>0.99</v>
      </c>
      <c r="G29" s="65">
        <v>1</v>
      </c>
      <c r="H29" s="44">
        <v>25</v>
      </c>
      <c r="I29" s="65">
        <v>112.9</v>
      </c>
      <c r="J29" s="65">
        <v>14.26</v>
      </c>
      <c r="K29" s="65">
        <v>1.22</v>
      </c>
      <c r="L29" s="65">
        <v>8.76</v>
      </c>
      <c r="M29" s="44"/>
      <c r="N29" s="46">
        <v>0.2</v>
      </c>
      <c r="O29" s="46">
        <v>0.25</v>
      </c>
      <c r="P29" s="46">
        <v>0.3</v>
      </c>
      <c r="Q29" s="46">
        <v>0.35</v>
      </c>
      <c r="R29" s="46">
        <v>0.4</v>
      </c>
      <c r="S29" s="44"/>
      <c r="V29" s="61" t="s">
        <v>135</v>
      </c>
      <c r="W29" s="61"/>
      <c r="X29" s="62" t="s">
        <v>100</v>
      </c>
      <c r="Y29" s="63" t="s">
        <v>101</v>
      </c>
      <c r="Z29" s="46" t="s">
        <v>58</v>
      </c>
      <c r="AA29" s="46" t="s">
        <v>87</v>
      </c>
      <c r="AB29" s="64" t="s">
        <v>88</v>
      </c>
      <c r="AC29" s="47"/>
      <c r="AD29" s="47"/>
      <c r="AI29"/>
      <c r="AJ29" s="39"/>
      <c r="AY29" s="47"/>
    </row>
    <row r="30" spans="2:51" s="47" customFormat="1" x14ac:dyDescent="0.25">
      <c r="B30" s="46" t="str">
        <f>X28</f>
        <v>BIOKiln</v>
      </c>
      <c r="C30" s="46" t="str">
        <f>PRI_Sector_Fuels!P5</f>
        <v>MANBIOMIN</v>
      </c>
      <c r="D30" s="51" t="s">
        <v>114</v>
      </c>
      <c r="E30" s="44">
        <v>2030</v>
      </c>
      <c r="F30" s="65">
        <v>0.55600000000000005</v>
      </c>
      <c r="G30" s="65">
        <v>0.98</v>
      </c>
      <c r="H30" s="44">
        <v>25</v>
      </c>
      <c r="I30" s="65">
        <v>297.10000000000002</v>
      </c>
      <c r="J30" s="65">
        <v>4.46</v>
      </c>
      <c r="K30" s="65">
        <v>0.45</v>
      </c>
      <c r="L30" s="65">
        <v>8.76</v>
      </c>
      <c r="M30" s="44"/>
      <c r="N30" s="69"/>
      <c r="O30" s="44"/>
      <c r="P30" s="44"/>
      <c r="Q30" s="44"/>
      <c r="R30" s="44"/>
      <c r="S30" s="44"/>
      <c r="V30" s="61" t="s">
        <v>135</v>
      </c>
      <c r="W30" s="61"/>
      <c r="X30" s="62" t="s">
        <v>102</v>
      </c>
      <c r="Y30" s="63" t="s">
        <v>137</v>
      </c>
      <c r="Z30" s="46" t="s">
        <v>58</v>
      </c>
      <c r="AA30" s="46" t="s">
        <v>87</v>
      </c>
      <c r="AB30" s="64" t="s">
        <v>88</v>
      </c>
      <c r="AI30"/>
      <c r="AJ30"/>
      <c r="AK30" s="46"/>
      <c r="AL30" s="46"/>
      <c r="AM30" s="46"/>
      <c r="AN30" s="46"/>
      <c r="AO30" s="46"/>
      <c r="AP30" s="46"/>
      <c r="AQ30" s="46"/>
      <c r="AR30" s="46"/>
      <c r="AS30" s="46"/>
      <c r="AT30" s="46"/>
      <c r="AU30" s="46"/>
      <c r="AV30" s="46"/>
      <c r="AW30" s="46"/>
    </row>
    <row r="31" spans="2:51" s="47" customFormat="1" x14ac:dyDescent="0.25">
      <c r="B31" s="51" t="str">
        <f>X29</f>
        <v>GASBoiler</v>
      </c>
      <c r="C31" s="46" t="str">
        <f>PRI_Sector_Fuels!P6</f>
        <v>MANGASMIN</v>
      </c>
      <c r="D31" s="51" t="s">
        <v>113</v>
      </c>
      <c r="E31" s="44">
        <v>2030</v>
      </c>
      <c r="F31" s="65">
        <v>0.75</v>
      </c>
      <c r="G31" s="65">
        <v>0.99</v>
      </c>
      <c r="H31" s="44">
        <v>25</v>
      </c>
      <c r="I31" s="65">
        <v>61.4</v>
      </c>
      <c r="J31" s="65">
        <v>2.57</v>
      </c>
      <c r="K31" s="65">
        <v>1.35</v>
      </c>
      <c r="L31" s="65">
        <v>8.76</v>
      </c>
      <c r="M31" s="44"/>
      <c r="N31" s="69"/>
      <c r="O31" s="44"/>
      <c r="P31" s="44"/>
      <c r="Q31" s="44"/>
      <c r="R31" s="44"/>
      <c r="S31" s="44"/>
      <c r="V31" s="61" t="s">
        <v>135</v>
      </c>
      <c r="W31" s="61"/>
      <c r="X31" s="62" t="s">
        <v>65</v>
      </c>
      <c r="Y31" s="63" t="s">
        <v>103</v>
      </c>
      <c r="Z31" s="46" t="s">
        <v>58</v>
      </c>
      <c r="AA31" s="46" t="s">
        <v>87</v>
      </c>
      <c r="AB31" s="47" t="s">
        <v>88</v>
      </c>
      <c r="AI31"/>
      <c r="AJ31"/>
      <c r="AK31" s="79"/>
      <c r="AL31" s="79"/>
      <c r="AM31" s="79"/>
      <c r="AN31" s="79"/>
      <c r="AO31" s="79"/>
      <c r="AP31" s="79"/>
      <c r="AQ31" s="79"/>
      <c r="AR31" s="79"/>
      <c r="AS31" s="79"/>
      <c r="AT31" s="79"/>
      <c r="AU31" s="79"/>
      <c r="AV31" s="79"/>
      <c r="AW31" s="79"/>
    </row>
    <row r="32" spans="2:51" s="47" customFormat="1" x14ac:dyDescent="0.25">
      <c r="B32" s="51" t="str">
        <f>X32</f>
        <v>WNDTRBN</v>
      </c>
      <c r="C32" s="46" t="str">
        <f>PRI_Sector_Fuels!D28</f>
        <v>WIND</v>
      </c>
      <c r="D32" s="51" t="s">
        <v>139</v>
      </c>
      <c r="E32" s="44">
        <v>2030</v>
      </c>
      <c r="F32" s="86">
        <v>1</v>
      </c>
      <c r="G32" s="65">
        <v>0.97</v>
      </c>
      <c r="H32" s="44">
        <v>25</v>
      </c>
      <c r="I32" s="65">
        <v>1041</v>
      </c>
      <c r="J32" s="65">
        <v>38</v>
      </c>
      <c r="K32" s="65">
        <v>0</v>
      </c>
      <c r="L32" s="65">
        <v>8.76</v>
      </c>
      <c r="M32" s="69"/>
      <c r="N32" s="69"/>
      <c r="O32" s="65"/>
      <c r="P32" s="65"/>
      <c r="Q32" s="65"/>
      <c r="R32" s="69"/>
      <c r="S32" s="44">
        <v>0.2</v>
      </c>
      <c r="V32" s="61" t="s">
        <v>69</v>
      </c>
      <c r="W32" s="61"/>
      <c r="X32" s="62" t="s">
        <v>90</v>
      </c>
      <c r="Y32" s="63" t="s">
        <v>93</v>
      </c>
      <c r="Z32" s="46" t="s">
        <v>58</v>
      </c>
      <c r="AA32" s="46" t="s">
        <v>87</v>
      </c>
      <c r="AB32" s="47" t="s">
        <v>88</v>
      </c>
      <c r="AI32"/>
      <c r="AJ32"/>
      <c r="AK32" s="79"/>
      <c r="AL32" s="79"/>
      <c r="AM32" s="79"/>
      <c r="AN32" s="79"/>
      <c r="AO32" s="79"/>
      <c r="AP32" s="79"/>
      <c r="AQ32" s="79"/>
      <c r="AR32" s="79"/>
      <c r="AS32" s="79"/>
      <c r="AT32" s="79"/>
      <c r="AU32" s="79"/>
      <c r="AV32" s="79"/>
      <c r="AW32" s="79"/>
    </row>
    <row r="33" spans="2:49" s="47" customFormat="1" x14ac:dyDescent="0.25">
      <c r="B33" s="51" t="str">
        <f>X33</f>
        <v>SOLPV</v>
      </c>
      <c r="C33" s="46" t="str">
        <f>PRI_Sector_Fuels!D29</f>
        <v>SOLAR</v>
      </c>
      <c r="D33" s="51" t="s">
        <v>140</v>
      </c>
      <c r="E33" s="44">
        <v>2030</v>
      </c>
      <c r="F33" s="86">
        <v>1</v>
      </c>
      <c r="G33" s="65">
        <v>0.99</v>
      </c>
      <c r="H33" s="44">
        <v>25</v>
      </c>
      <c r="I33" s="65">
        <v>691</v>
      </c>
      <c r="J33" s="65">
        <v>6.99</v>
      </c>
      <c r="K33" s="65">
        <v>0</v>
      </c>
      <c r="L33" s="65">
        <v>8.76</v>
      </c>
      <c r="M33" s="69"/>
      <c r="N33" s="69"/>
      <c r="O33" s="65"/>
      <c r="P33" s="65"/>
      <c r="Q33" s="65"/>
      <c r="R33" s="69"/>
      <c r="S33" s="44">
        <v>0.3</v>
      </c>
      <c r="V33" s="61" t="s">
        <v>69</v>
      </c>
      <c r="W33" s="61"/>
      <c r="X33" s="62" t="s">
        <v>91</v>
      </c>
      <c r="Y33" s="63" t="s">
        <v>92</v>
      </c>
      <c r="Z33" s="46" t="s">
        <v>58</v>
      </c>
      <c r="AA33" s="46" t="s">
        <v>87</v>
      </c>
      <c r="AB33" s="47" t="s">
        <v>88</v>
      </c>
      <c r="AI33"/>
      <c r="AJ33"/>
      <c r="AK33" s="46"/>
      <c r="AL33" s="46"/>
      <c r="AM33" s="46"/>
      <c r="AN33" s="46"/>
      <c r="AO33" s="46"/>
      <c r="AP33" s="46"/>
      <c r="AQ33" s="46"/>
      <c r="AR33" s="46"/>
      <c r="AS33" s="46"/>
      <c r="AT33" s="46"/>
      <c r="AU33" s="46"/>
      <c r="AV33" s="46"/>
      <c r="AW33" s="46"/>
    </row>
    <row r="34" spans="2:49" s="47" customFormat="1" x14ac:dyDescent="0.25">
      <c r="B34" s="51" t="str">
        <f>X31</f>
        <v>CSP</v>
      </c>
      <c r="C34" s="46" t="str">
        <f>PRI_Sector_Fuels!D29</f>
        <v>SOLAR</v>
      </c>
      <c r="D34" s="51" t="s">
        <v>113</v>
      </c>
      <c r="E34" s="44">
        <v>2030</v>
      </c>
      <c r="F34" s="86">
        <v>1</v>
      </c>
      <c r="G34" s="65">
        <v>1</v>
      </c>
      <c r="H34" s="44">
        <v>25</v>
      </c>
      <c r="I34" s="65">
        <v>3677</v>
      </c>
      <c r="J34" s="65">
        <v>0</v>
      </c>
      <c r="K34" s="65">
        <v>14</v>
      </c>
      <c r="L34" s="65">
        <v>8.76</v>
      </c>
      <c r="M34" s="69"/>
      <c r="N34" s="69"/>
      <c r="O34" s="65"/>
      <c r="P34" s="65"/>
      <c r="Q34" s="65"/>
      <c r="R34" s="69"/>
      <c r="S34" s="44"/>
      <c r="V34" s="61" t="s">
        <v>69</v>
      </c>
      <c r="W34" s="61"/>
      <c r="X34" s="62" t="s">
        <v>136</v>
      </c>
      <c r="Y34" s="63" t="s">
        <v>143</v>
      </c>
      <c r="Z34" s="46" t="s">
        <v>58</v>
      </c>
      <c r="AA34" s="46" t="s">
        <v>87</v>
      </c>
      <c r="AB34" s="47" t="s">
        <v>88</v>
      </c>
      <c r="AI34"/>
      <c r="AJ34"/>
      <c r="AK34" s="46"/>
      <c r="AL34" s="46"/>
      <c r="AM34" s="46"/>
      <c r="AN34" s="46"/>
      <c r="AO34" s="46"/>
      <c r="AP34" s="46"/>
      <c r="AQ34" s="46"/>
      <c r="AR34" s="46"/>
      <c r="AS34" s="46"/>
      <c r="AT34" s="46"/>
      <c r="AU34" s="46"/>
      <c r="AV34" s="46"/>
      <c r="AW34" s="46"/>
    </row>
    <row r="35" spans="2:49" s="47" customFormat="1" x14ac:dyDescent="0.25">
      <c r="B35" s="51" t="str">
        <f>X29</f>
        <v>GASBoiler</v>
      </c>
      <c r="C35" s="46"/>
      <c r="D35" s="51" t="s">
        <v>112</v>
      </c>
      <c r="E35" s="44">
        <v>2030</v>
      </c>
      <c r="F35" s="86">
        <v>1</v>
      </c>
      <c r="G35" s="65">
        <v>1</v>
      </c>
      <c r="H35" s="44">
        <v>25</v>
      </c>
      <c r="I35" s="65">
        <v>0</v>
      </c>
      <c r="J35" s="65">
        <v>0</v>
      </c>
      <c r="K35" s="65">
        <v>0</v>
      </c>
      <c r="L35" s="65">
        <v>8.76</v>
      </c>
      <c r="M35" s="69"/>
      <c r="N35" s="69"/>
      <c r="O35" s="65"/>
      <c r="P35" s="65"/>
      <c r="Q35" s="65"/>
      <c r="R35" s="69"/>
      <c r="S35" s="44"/>
      <c r="V35" s="61" t="s">
        <v>69</v>
      </c>
      <c r="W35" s="61"/>
      <c r="X35" s="62" t="s">
        <v>147</v>
      </c>
      <c r="Y35" s="63" t="s">
        <v>146</v>
      </c>
      <c r="Z35" s="46" t="s">
        <v>58</v>
      </c>
      <c r="AA35" s="46" t="s">
        <v>87</v>
      </c>
      <c r="AB35" s="47" t="s">
        <v>88</v>
      </c>
      <c r="AI35"/>
      <c r="AJ35"/>
      <c r="AK35" s="46"/>
      <c r="AL35" s="46"/>
      <c r="AM35" s="46"/>
      <c r="AN35" s="46"/>
      <c r="AO35" s="46"/>
      <c r="AP35" s="46"/>
      <c r="AQ35" s="46"/>
      <c r="AR35" s="46"/>
      <c r="AS35" s="46"/>
      <c r="AT35" s="46"/>
      <c r="AU35" s="46"/>
      <c r="AV35" s="46"/>
      <c r="AW35" s="46"/>
    </row>
    <row r="36" spans="2:49" s="47" customFormat="1" x14ac:dyDescent="0.25">
      <c r="B36" s="88" t="str">
        <f>X34</f>
        <v>DECELC</v>
      </c>
      <c r="C36" s="51" t="s">
        <v>139</v>
      </c>
      <c r="D36" s="51" t="s">
        <v>69</v>
      </c>
      <c r="E36" s="44">
        <v>2030</v>
      </c>
      <c r="F36" s="47">
        <v>1</v>
      </c>
      <c r="G36" s="47">
        <v>1</v>
      </c>
      <c r="H36" s="44">
        <v>100</v>
      </c>
      <c r="I36" s="65">
        <v>0</v>
      </c>
      <c r="J36" s="46">
        <v>0</v>
      </c>
      <c r="K36" s="47">
        <v>0</v>
      </c>
      <c r="L36" s="65">
        <v>8.76</v>
      </c>
      <c r="M36" s="69"/>
      <c r="N36" s="69"/>
      <c r="O36" s="65"/>
      <c r="P36" s="65"/>
      <c r="Q36" s="65"/>
      <c r="R36" s="69"/>
      <c r="S36" s="44"/>
      <c r="V36" s="61"/>
      <c r="W36" s="61"/>
      <c r="X36" s="62"/>
      <c r="Y36" s="63"/>
      <c r="Z36" s="46"/>
      <c r="AA36" s="46"/>
      <c r="AI36"/>
      <c r="AJ36"/>
      <c r="AK36" s="46"/>
      <c r="AL36" s="46"/>
      <c r="AM36" s="46"/>
      <c r="AN36" s="46"/>
      <c r="AO36" s="46"/>
      <c r="AP36" s="46"/>
      <c r="AQ36" s="46"/>
      <c r="AR36" s="46"/>
      <c r="AS36" s="46"/>
      <c r="AT36" s="46"/>
      <c r="AU36" s="46"/>
      <c r="AV36" s="46"/>
      <c r="AW36" s="46"/>
    </row>
    <row r="37" spans="2:49" s="47" customFormat="1" x14ac:dyDescent="0.25">
      <c r="B37" s="88" t="str">
        <f>X34</f>
        <v>DECELC</v>
      </c>
      <c r="C37" s="51" t="s">
        <v>140</v>
      </c>
      <c r="D37" s="51" t="s">
        <v>69</v>
      </c>
      <c r="E37" s="44">
        <v>2030</v>
      </c>
      <c r="F37" s="47">
        <v>1</v>
      </c>
      <c r="G37" s="47">
        <v>1</v>
      </c>
      <c r="H37" s="44">
        <v>100</v>
      </c>
      <c r="I37" s="65">
        <v>0</v>
      </c>
      <c r="J37" s="46">
        <v>0</v>
      </c>
      <c r="K37" s="47">
        <v>0</v>
      </c>
      <c r="L37" s="65">
        <v>8.76</v>
      </c>
      <c r="M37" s="69"/>
      <c r="N37" s="69"/>
      <c r="O37" s="65"/>
      <c r="P37" s="65"/>
      <c r="Q37" s="65"/>
      <c r="R37" s="69"/>
      <c r="S37" s="44"/>
      <c r="V37" s="61"/>
      <c r="W37" s="61"/>
      <c r="X37" s="62"/>
      <c r="Y37" s="63"/>
      <c r="Z37" s="46"/>
      <c r="AA37" s="46"/>
      <c r="AI37"/>
      <c r="AJ37"/>
      <c r="AK37" s="46"/>
      <c r="AL37" s="46"/>
      <c r="AM37" s="46"/>
      <c r="AN37" s="46"/>
      <c r="AO37" s="46"/>
      <c r="AP37" s="46"/>
      <c r="AQ37" s="46"/>
      <c r="AR37" s="46"/>
      <c r="AS37" s="46"/>
      <c r="AT37" s="46"/>
      <c r="AU37" s="46"/>
      <c r="AV37" s="46"/>
      <c r="AW37" s="46"/>
    </row>
    <row r="38" spans="2:49" s="47" customFormat="1" x14ac:dyDescent="0.25">
      <c r="B38" s="51" t="str">
        <f>X35</f>
        <v>BIOPOWER</v>
      </c>
      <c r="C38" s="51" t="s">
        <v>68</v>
      </c>
      <c r="D38" s="51" t="s">
        <v>145</v>
      </c>
      <c r="E38" s="44">
        <v>2030</v>
      </c>
      <c r="F38" s="47">
        <v>0.35</v>
      </c>
      <c r="G38" s="47">
        <v>0.98</v>
      </c>
      <c r="H38" s="44">
        <v>20</v>
      </c>
      <c r="I38" s="89">
        <v>3242</v>
      </c>
      <c r="J38" s="65">
        <v>129.68</v>
      </c>
      <c r="K38" s="65">
        <v>0</v>
      </c>
      <c r="L38" s="65">
        <v>8.76</v>
      </c>
      <c r="M38" s="69"/>
      <c r="N38" s="69"/>
      <c r="O38" s="65"/>
      <c r="P38" s="65"/>
      <c r="Q38" s="65"/>
      <c r="R38" s="69"/>
      <c r="S38" s="44"/>
      <c r="V38" s="46"/>
      <c r="W38" s="46"/>
      <c r="X38" s="46"/>
      <c r="Y38" s="46"/>
      <c r="Z38" s="46"/>
      <c r="AA38" s="46"/>
      <c r="AC38" s="46"/>
      <c r="AD38" s="46"/>
      <c r="AI38"/>
      <c r="AJ38"/>
      <c r="AK38" s="46"/>
      <c r="AL38" s="46"/>
      <c r="AM38" s="46"/>
      <c r="AN38" s="46"/>
      <c r="AO38" s="46"/>
      <c r="AP38" s="46"/>
      <c r="AQ38" s="46"/>
      <c r="AR38" s="46"/>
      <c r="AS38" s="46"/>
      <c r="AT38" s="46"/>
      <c r="AU38" s="46"/>
      <c r="AV38" s="46"/>
      <c r="AW38" s="46"/>
    </row>
    <row r="39" spans="2:49" s="47" customFormat="1" x14ac:dyDescent="0.25">
      <c r="B39" s="51" t="s">
        <v>136</v>
      </c>
      <c r="C39" s="46" t="s">
        <v>145</v>
      </c>
      <c r="D39" s="51" t="s">
        <v>69</v>
      </c>
      <c r="E39" s="44">
        <v>2030</v>
      </c>
      <c r="F39" s="86">
        <v>1</v>
      </c>
      <c r="G39" s="65">
        <v>1</v>
      </c>
      <c r="H39" s="47">
        <v>100</v>
      </c>
      <c r="I39" s="47">
        <v>0</v>
      </c>
      <c r="J39" s="47">
        <v>0</v>
      </c>
      <c r="K39" s="47">
        <v>0</v>
      </c>
      <c r="L39" s="47">
        <v>0</v>
      </c>
      <c r="M39" s="69"/>
      <c r="N39" s="69"/>
      <c r="O39" s="65"/>
      <c r="P39" s="65"/>
      <c r="Q39" s="65"/>
      <c r="R39" s="69"/>
      <c r="S39" s="44"/>
      <c r="AI39"/>
      <c r="AJ39"/>
      <c r="AK39" s="46"/>
      <c r="AL39" s="46"/>
      <c r="AM39" s="46"/>
      <c r="AN39" s="46"/>
      <c r="AO39" s="46"/>
      <c r="AP39" s="46"/>
      <c r="AQ39" s="46"/>
      <c r="AR39" s="46"/>
      <c r="AS39" s="46"/>
      <c r="AT39" s="46"/>
      <c r="AU39" s="46"/>
      <c r="AV39" s="46"/>
      <c r="AW39" s="46"/>
    </row>
    <row r="40" spans="2:49" s="47" customFormat="1" x14ac:dyDescent="0.25">
      <c r="B40" s="46"/>
      <c r="C40" s="51"/>
      <c r="D40" s="87"/>
      <c r="E40" s="44"/>
      <c r="F40" s="65"/>
      <c r="G40" s="65"/>
      <c r="H40" s="44"/>
      <c r="I40" s="65"/>
      <c r="J40" s="65"/>
      <c r="K40" s="65"/>
      <c r="L40" s="65"/>
      <c r="M40" s="69"/>
      <c r="N40" s="69"/>
      <c r="O40" s="65"/>
      <c r="P40" s="65"/>
      <c r="Q40" s="65"/>
      <c r="R40" s="69"/>
      <c r="S40" s="44"/>
      <c r="V40" s="46"/>
      <c r="W40" s="46"/>
      <c r="X40" s="46"/>
      <c r="Y40" s="46"/>
      <c r="Z40" s="46"/>
      <c r="AA40" s="46"/>
      <c r="AB40" s="46"/>
      <c r="AC40" s="46"/>
      <c r="AD40" s="46"/>
      <c r="AI40"/>
      <c r="AJ40"/>
      <c r="AK40" s="79"/>
      <c r="AL40" s="79"/>
      <c r="AM40" s="79"/>
      <c r="AN40" s="79"/>
      <c r="AO40" s="79"/>
      <c r="AP40" s="79"/>
      <c r="AQ40" s="79"/>
      <c r="AR40" s="79"/>
      <c r="AS40" s="79"/>
      <c r="AT40" s="79"/>
      <c r="AU40" s="79"/>
      <c r="AV40" s="79"/>
      <c r="AW40" s="79"/>
    </row>
    <row r="41" spans="2:49" s="47" customFormat="1" x14ac:dyDescent="0.25">
      <c r="B41" s="46"/>
      <c r="C41" s="51"/>
      <c r="D41" s="87"/>
      <c r="E41" s="44"/>
      <c r="F41" s="65"/>
      <c r="G41" s="65"/>
      <c r="H41" s="44"/>
      <c r="I41" s="65"/>
      <c r="J41" s="65"/>
      <c r="K41" s="65"/>
      <c r="L41" s="65"/>
      <c r="M41" s="69"/>
      <c r="N41" s="69"/>
      <c r="O41" s="65"/>
      <c r="P41" s="65"/>
      <c r="Q41" s="65"/>
      <c r="R41" s="69"/>
      <c r="S41" s="44"/>
      <c r="V41" s="46"/>
      <c r="W41" s="46"/>
      <c r="X41" s="46"/>
      <c r="Y41" s="46"/>
      <c r="Z41" s="46"/>
      <c r="AA41" s="46"/>
      <c r="AB41" s="46"/>
      <c r="AC41" s="46"/>
      <c r="AD41" s="46"/>
      <c r="AI41"/>
      <c r="AJ41"/>
      <c r="AK41" s="79"/>
      <c r="AL41" s="79"/>
      <c r="AM41" s="79"/>
      <c r="AN41" s="79"/>
      <c r="AO41" s="79"/>
      <c r="AP41" s="79"/>
      <c r="AQ41" s="79"/>
      <c r="AR41" s="79"/>
      <c r="AS41" s="79"/>
      <c r="AT41" s="79"/>
      <c r="AU41" s="79"/>
      <c r="AV41" s="79"/>
      <c r="AW41" s="79"/>
    </row>
    <row r="42" spans="2:49" s="47" customFormat="1" x14ac:dyDescent="0.25">
      <c r="B42" s="46"/>
      <c r="C42" s="51"/>
      <c r="D42" s="87"/>
      <c r="E42" s="44"/>
      <c r="F42" s="65"/>
      <c r="G42" s="65"/>
      <c r="H42" s="44"/>
      <c r="I42" s="65"/>
      <c r="J42" s="65"/>
      <c r="K42" s="65"/>
      <c r="L42" s="65"/>
      <c r="M42" s="69"/>
      <c r="N42" s="69"/>
      <c r="O42" s="65"/>
      <c r="P42" s="65"/>
      <c r="Q42" s="65"/>
      <c r="R42" s="69"/>
      <c r="S42" s="44"/>
      <c r="V42" s="46"/>
      <c r="W42" s="46"/>
      <c r="X42" s="46"/>
      <c r="Y42" s="46"/>
      <c r="Z42" s="46"/>
      <c r="AA42" s="46"/>
      <c r="AB42" s="46"/>
      <c r="AC42" s="46"/>
      <c r="AD42" s="46"/>
      <c r="AI42"/>
      <c r="AJ42"/>
      <c r="AK42" s="46"/>
      <c r="AL42" s="46"/>
      <c r="AM42" s="46"/>
      <c r="AN42" s="46"/>
      <c r="AO42" s="46"/>
      <c r="AP42" s="46"/>
      <c r="AQ42" s="46"/>
      <c r="AR42" s="46"/>
      <c r="AS42" s="46"/>
      <c r="AT42" s="46"/>
      <c r="AU42" s="46"/>
      <c r="AV42" s="46"/>
      <c r="AW42" s="46"/>
    </row>
    <row r="43" spans="2:49" s="47" customFormat="1" x14ac:dyDescent="0.25">
      <c r="B43" s="51"/>
      <c r="C43" s="51"/>
      <c r="D43" s="51"/>
      <c r="E43" s="44"/>
      <c r="F43" s="65"/>
      <c r="G43" s="65"/>
      <c r="H43" s="44"/>
      <c r="I43" s="65"/>
      <c r="J43" s="65"/>
      <c r="K43" s="65"/>
      <c r="L43" s="65"/>
      <c r="M43" s="69"/>
      <c r="N43" s="69"/>
      <c r="O43" s="65"/>
      <c r="P43" s="65"/>
      <c r="Q43" s="65"/>
      <c r="R43" s="69"/>
      <c r="S43" s="44"/>
      <c r="V43" s="46"/>
      <c r="W43" s="46"/>
      <c r="X43" s="46"/>
      <c r="Y43" s="46"/>
      <c r="Z43" s="46"/>
      <c r="AA43" s="46"/>
      <c r="AB43" s="46"/>
      <c r="AC43" s="46"/>
      <c r="AD43" s="46"/>
      <c r="AI43"/>
      <c r="AJ43"/>
      <c r="AK43" s="39"/>
      <c r="AL43" s="39"/>
      <c r="AM43" s="46"/>
      <c r="AN43" s="46"/>
      <c r="AO43" s="46"/>
      <c r="AQ43"/>
      <c r="AR43"/>
      <c r="AS43" s="39"/>
      <c r="AT43" s="39"/>
      <c r="AU43" s="46"/>
      <c r="AV43" s="46"/>
    </row>
    <row r="44" spans="2:49" s="47" customFormat="1" x14ac:dyDescent="0.25">
      <c r="B44" s="51"/>
      <c r="C44" s="51"/>
      <c r="D44" s="51"/>
      <c r="E44" s="44"/>
      <c r="H44" s="44"/>
      <c r="I44" s="65"/>
      <c r="J44" s="46"/>
      <c r="L44" s="65"/>
      <c r="M44" s="69"/>
      <c r="N44" s="69"/>
      <c r="O44" s="65"/>
      <c r="P44" s="65"/>
      <c r="Q44" s="65"/>
      <c r="R44" s="69"/>
      <c r="S44" s="44"/>
      <c r="V44" s="46"/>
      <c r="W44" s="46"/>
      <c r="X44" s="46"/>
      <c r="Y44" s="46"/>
      <c r="Z44" s="46"/>
      <c r="AA44" s="46"/>
      <c r="AB44" s="46"/>
      <c r="AC44" s="46"/>
      <c r="AD44" s="46"/>
      <c r="AI44"/>
      <c r="AJ44"/>
      <c r="AK44" s="39"/>
      <c r="AL44" s="39"/>
      <c r="AM44" s="46"/>
      <c r="AN44" s="46"/>
      <c r="AO44" s="46"/>
      <c r="AQ44"/>
      <c r="AR44"/>
      <c r="AS44" s="39"/>
      <c r="AT44" s="39"/>
      <c r="AU44" s="46"/>
      <c r="AV44" s="46"/>
    </row>
    <row r="45" spans="2:49" s="47" customFormat="1" x14ac:dyDescent="0.25">
      <c r="B45" s="51"/>
      <c r="C45" s="51"/>
      <c r="D45" s="51"/>
      <c r="E45" s="44"/>
      <c r="H45" s="44"/>
      <c r="I45" s="65"/>
      <c r="J45" s="46"/>
      <c r="L45" s="65"/>
      <c r="M45" s="44"/>
      <c r="N45" s="69"/>
      <c r="O45" s="44"/>
      <c r="P45" s="44"/>
      <c r="Q45" s="44"/>
      <c r="R45" s="44"/>
      <c r="S45" s="44"/>
      <c r="V45" s="38"/>
      <c r="W45" s="38"/>
      <c r="X45" s="39"/>
      <c r="Y45" s="40"/>
      <c r="Z45" s="38"/>
      <c r="AA45" s="38"/>
      <c r="AB45" s="38"/>
      <c r="AC45" s="46"/>
      <c r="AD45" s="46"/>
      <c r="AI45"/>
      <c r="AJ45"/>
      <c r="AK45" s="39"/>
      <c r="AL45" s="39"/>
      <c r="AM45" s="46"/>
      <c r="AN45" s="46"/>
      <c r="AO45" s="46"/>
      <c r="AQ45"/>
      <c r="AR45"/>
      <c r="AS45" s="39"/>
      <c r="AT45" s="39"/>
      <c r="AU45" s="46"/>
      <c r="AV45" s="46"/>
    </row>
    <row r="46" spans="2:49" s="47" customFormat="1" x14ac:dyDescent="0.25">
      <c r="B46" s="46"/>
      <c r="C46" s="51"/>
      <c r="D46" s="51"/>
      <c r="E46" s="65"/>
      <c r="F46" s="66"/>
      <c r="K46" s="46"/>
      <c r="N46" s="66"/>
      <c r="V46" s="38"/>
      <c r="W46" s="38"/>
      <c r="X46" s="39"/>
      <c r="Y46" s="40"/>
      <c r="Z46" s="38"/>
      <c r="AA46" s="38"/>
      <c r="AB46" s="38"/>
      <c r="AC46" s="46"/>
      <c r="AD46" s="46"/>
      <c r="AI46"/>
      <c r="AJ46"/>
      <c r="AK46" s="39"/>
      <c r="AL46" s="39"/>
      <c r="AM46" s="46"/>
      <c r="AN46" s="46"/>
      <c r="AO46" s="46"/>
      <c r="AQ46"/>
      <c r="AR46"/>
      <c r="AS46" s="39"/>
      <c r="AT46" s="39"/>
      <c r="AU46" s="46"/>
      <c r="AV46" s="46"/>
    </row>
    <row r="47" spans="2:49" s="47" customFormat="1" x14ac:dyDescent="0.25">
      <c r="B47" s="51"/>
      <c r="C47" s="51"/>
      <c r="D47" s="51"/>
      <c r="E47" s="65"/>
      <c r="F47" s="66"/>
      <c r="J47" s="67"/>
      <c r="K47" s="46"/>
      <c r="N47" s="66"/>
      <c r="V47" s="46"/>
      <c r="W47" s="46"/>
      <c r="X47" s="46"/>
      <c r="Y47" s="46"/>
      <c r="Z47" s="51"/>
      <c r="AA47" s="51"/>
      <c r="AB47" s="64"/>
      <c r="AC47" s="46"/>
      <c r="AD47" s="46"/>
      <c r="AI47"/>
      <c r="AJ47"/>
      <c r="AK47" s="39"/>
      <c r="AL47" s="39"/>
      <c r="AM47" s="46"/>
      <c r="AN47" s="46"/>
      <c r="AO47" s="46"/>
      <c r="AQ47"/>
      <c r="AR47"/>
      <c r="AS47" s="39"/>
      <c r="AT47" s="39"/>
      <c r="AU47" s="46"/>
      <c r="AV47" s="46"/>
    </row>
    <row r="48" spans="2:49" s="47" customFormat="1" x14ac:dyDescent="0.25">
      <c r="B48" s="51"/>
      <c r="C48" s="46"/>
      <c r="D48" s="51"/>
      <c r="E48" s="65"/>
      <c r="F48" s="68"/>
      <c r="G48" s="46"/>
      <c r="H48" s="46"/>
      <c r="I48" s="46"/>
      <c r="J48" s="69"/>
      <c r="K48" s="46"/>
      <c r="V48" s="46"/>
      <c r="X48" s="46"/>
      <c r="Z48" s="55"/>
      <c r="AA48" s="55"/>
      <c r="AB48" s="46"/>
      <c r="AC48" s="46"/>
      <c r="AD48" s="46"/>
      <c r="AI48"/>
      <c r="AJ48"/>
      <c r="AK48" s="39"/>
      <c r="AL48" s="39"/>
      <c r="AM48" s="46"/>
      <c r="AN48" s="46"/>
      <c r="AO48" s="46"/>
      <c r="AQ48"/>
      <c r="AR48"/>
      <c r="AS48" s="39"/>
      <c r="AT48" s="39"/>
      <c r="AU48" s="46"/>
      <c r="AV48" s="46"/>
    </row>
    <row r="49" spans="1:48" s="47" customFormat="1" x14ac:dyDescent="0.25">
      <c r="B49" s="46"/>
      <c r="C49" s="46"/>
      <c r="D49" s="46"/>
      <c r="E49" s="65"/>
      <c r="F49" s="68"/>
      <c r="G49" s="46"/>
      <c r="H49" s="46"/>
      <c r="I49" s="46"/>
      <c r="J49" s="69"/>
      <c r="K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I49"/>
      <c r="AJ49"/>
      <c r="AK49" s="39"/>
      <c r="AL49" s="39"/>
      <c r="AM49" s="46"/>
      <c r="AN49" s="46"/>
      <c r="AO49" s="46"/>
      <c r="AQ49"/>
      <c r="AR49"/>
      <c r="AS49" s="39"/>
      <c r="AT49" s="39"/>
      <c r="AU49" s="46"/>
      <c r="AV49" s="46"/>
    </row>
    <row r="50" spans="1:48" x14ac:dyDescent="0.25">
      <c r="A50" s="47"/>
      <c r="F50" s="68"/>
      <c r="G50" s="44"/>
      <c r="H50" s="70"/>
      <c r="M50" s="47"/>
      <c r="N50" s="47"/>
      <c r="O50" s="47"/>
      <c r="P50" s="47"/>
      <c r="Q50" s="47"/>
      <c r="R50" s="47"/>
      <c r="S50" s="47"/>
      <c r="AI50"/>
      <c r="AJ50"/>
      <c r="AK50" s="39"/>
      <c r="AL50" s="39"/>
      <c r="AP50" s="47"/>
      <c r="AQ50"/>
      <c r="AR50"/>
      <c r="AS50" s="39"/>
      <c r="AT50" s="39"/>
    </row>
    <row r="51" spans="1:48" x14ac:dyDescent="0.25">
      <c r="A51" s="47"/>
      <c r="H51" s="70"/>
      <c r="M51" s="47"/>
      <c r="N51" s="47"/>
      <c r="O51" s="47"/>
      <c r="P51" s="47"/>
      <c r="Q51" s="47"/>
      <c r="R51" s="47"/>
      <c r="S51" s="47"/>
      <c r="AI51"/>
      <c r="AJ51"/>
      <c r="AK51" s="39"/>
      <c r="AL51" s="39"/>
      <c r="AP51" s="47"/>
      <c r="AQ51"/>
      <c r="AR51"/>
      <c r="AS51" s="39"/>
      <c r="AT51" s="39"/>
    </row>
    <row r="52" spans="1:48" x14ac:dyDescent="0.25">
      <c r="B52" s="71"/>
      <c r="C52" s="46" t="s">
        <v>82</v>
      </c>
      <c r="H52" s="70"/>
      <c r="AI52"/>
      <c r="AJ52"/>
      <c r="AK52" s="39"/>
      <c r="AL52" s="39"/>
      <c r="AQ52"/>
      <c r="AR52"/>
      <c r="AS52" s="39"/>
      <c r="AT52" s="39"/>
    </row>
    <row r="53" spans="1:48" x14ac:dyDescent="0.25">
      <c r="B53" s="72"/>
      <c r="C53" s="46" t="s">
        <v>83</v>
      </c>
      <c r="H53" s="70"/>
      <c r="AI53"/>
      <c r="AJ53"/>
      <c r="AK53" s="39"/>
      <c r="AL53" s="39"/>
      <c r="AQ53"/>
      <c r="AR53"/>
      <c r="AS53" s="39"/>
      <c r="AT53" s="39"/>
    </row>
    <row r="54" spans="1:48" x14ac:dyDescent="0.25">
      <c r="H54" s="70"/>
      <c r="AI54"/>
      <c r="AJ54"/>
      <c r="AK54" s="39"/>
      <c r="AL54" s="39"/>
      <c r="AQ54"/>
      <c r="AR54"/>
      <c r="AS54" s="39"/>
      <c r="AT54" s="39"/>
    </row>
    <row r="55" spans="1:48" x14ac:dyDescent="0.25">
      <c r="AI55"/>
      <c r="AJ55"/>
      <c r="AK55" s="39"/>
      <c r="AL55" s="39"/>
      <c r="AQ55"/>
      <c r="AR55"/>
      <c r="AS55" s="39"/>
      <c r="AT55" s="39"/>
    </row>
    <row r="56" spans="1:48" x14ac:dyDescent="0.25">
      <c r="AI56"/>
      <c r="AJ56"/>
      <c r="AK56" s="39"/>
      <c r="AL56" s="39"/>
      <c r="AQ56"/>
      <c r="AR56"/>
      <c r="AS56" s="39"/>
      <c r="AT56" s="39"/>
    </row>
    <row r="57" spans="1:48" x14ac:dyDescent="0.25">
      <c r="E57" s="44"/>
      <c r="AI57"/>
      <c r="AJ57"/>
      <c r="AK57" s="39"/>
      <c r="AL57" s="39"/>
      <c r="AQ57"/>
      <c r="AR57"/>
      <c r="AS57" s="39"/>
      <c r="AT57" s="39"/>
    </row>
    <row r="58" spans="1:48" x14ac:dyDescent="0.25">
      <c r="AI58"/>
      <c r="AJ58"/>
      <c r="AK58" s="39"/>
      <c r="AL58" s="39"/>
      <c r="AQ58"/>
      <c r="AR58"/>
      <c r="AS58" s="39"/>
      <c r="AT58" s="39"/>
    </row>
    <row r="59" spans="1:48" x14ac:dyDescent="0.25">
      <c r="AI59"/>
      <c r="AJ59"/>
      <c r="AK59" s="39"/>
      <c r="AL59" s="39"/>
      <c r="AQ59"/>
      <c r="AR59"/>
      <c r="AS59" s="39"/>
      <c r="AT59" s="39"/>
    </row>
    <row r="60" spans="1:48" x14ac:dyDescent="0.25">
      <c r="AI60"/>
      <c r="AJ60"/>
      <c r="AK60" s="39"/>
      <c r="AL60" s="39"/>
      <c r="AQ60"/>
      <c r="AR60"/>
      <c r="AS60" s="39"/>
      <c r="AT60" s="39"/>
    </row>
    <row r="61" spans="1:48" x14ac:dyDescent="0.25">
      <c r="AI61"/>
      <c r="AJ61"/>
      <c r="AK61" s="39"/>
      <c r="AL61" s="39"/>
      <c r="AQ61"/>
      <c r="AR61"/>
      <c r="AS61" s="39"/>
      <c r="AT61" s="39"/>
    </row>
    <row r="62" spans="1:48" x14ac:dyDescent="0.25">
      <c r="AI62"/>
      <c r="AJ62"/>
      <c r="AK62" s="39"/>
      <c r="AL62" s="39"/>
      <c r="AQ62"/>
      <c r="AR62"/>
      <c r="AS62" s="39"/>
      <c r="AT62" s="39"/>
    </row>
    <row r="63" spans="1:48" x14ac:dyDescent="0.25">
      <c r="AI63"/>
      <c r="AJ63"/>
      <c r="AK63" s="39"/>
      <c r="AL63" s="39"/>
      <c r="AQ63"/>
      <c r="AR63"/>
      <c r="AS63" s="39"/>
      <c r="AT63" s="39"/>
    </row>
    <row r="64" spans="1:48" x14ac:dyDescent="0.25">
      <c r="B64" s="74"/>
      <c r="C64" s="74"/>
      <c r="D64"/>
      <c r="E64"/>
      <c r="F64"/>
      <c r="G64"/>
      <c r="H64"/>
      <c r="I64"/>
      <c r="J64"/>
      <c r="K64"/>
      <c r="L64"/>
      <c r="AI64"/>
      <c r="AJ64"/>
      <c r="AK64" s="39"/>
      <c r="AL64" s="39"/>
      <c r="AQ64"/>
      <c r="AR64"/>
      <c r="AS64" s="39"/>
      <c r="AT64" s="39"/>
    </row>
    <row r="65" spans="1:48" ht="13.8" thickBot="1" x14ac:dyDescent="0.3">
      <c r="B65" s="75"/>
      <c r="C65" s="75"/>
      <c r="D65" s="75"/>
      <c r="E65" s="75"/>
      <c r="F65" s="75"/>
      <c r="G65" s="75"/>
      <c r="H65" s="75"/>
      <c r="I65" s="75"/>
      <c r="J65" s="75"/>
      <c r="K65" s="75"/>
      <c r="L65" s="75"/>
      <c r="AI65"/>
      <c r="AJ65"/>
      <c r="AK65" s="39"/>
      <c r="AL65" s="39"/>
      <c r="AQ65"/>
      <c r="AR65"/>
      <c r="AS65" s="39"/>
      <c r="AT65" s="39"/>
    </row>
    <row r="66" spans="1:48" x14ac:dyDescent="0.25">
      <c r="B66"/>
      <c r="C66"/>
      <c r="D66"/>
      <c r="E66" s="1"/>
      <c r="F66"/>
      <c r="G66"/>
      <c r="H66"/>
      <c r="I66"/>
      <c r="J66"/>
      <c r="K66"/>
      <c r="L66"/>
      <c r="AI66"/>
      <c r="AJ66"/>
      <c r="AK66" s="39"/>
      <c r="AL66" s="39"/>
      <c r="AQ66"/>
      <c r="AR66"/>
      <c r="AS66" s="39"/>
      <c r="AT66" s="39"/>
    </row>
    <row r="67" spans="1:48" x14ac:dyDescent="0.25">
      <c r="B67"/>
      <c r="C67"/>
      <c r="D67"/>
      <c r="E67" s="1"/>
      <c r="F67"/>
      <c r="G67"/>
      <c r="H67"/>
      <c r="I67"/>
      <c r="J67"/>
      <c r="K67"/>
      <c r="L67"/>
      <c r="AI67"/>
      <c r="AJ67"/>
      <c r="AK67" s="39"/>
      <c r="AL67" s="39"/>
      <c r="AQ67"/>
      <c r="AR67"/>
      <c r="AS67" s="39"/>
      <c r="AT67" s="39"/>
    </row>
    <row r="68" spans="1:48" x14ac:dyDescent="0.25">
      <c r="B68"/>
      <c r="C68"/>
      <c r="D68"/>
      <c r="E68" s="1"/>
      <c r="F68"/>
      <c r="G68"/>
      <c r="H68"/>
      <c r="I68"/>
      <c r="J68"/>
      <c r="K68"/>
      <c r="L68"/>
      <c r="AI68"/>
      <c r="AJ68"/>
      <c r="AK68" s="39"/>
      <c r="AL68" s="39"/>
      <c r="AQ68"/>
      <c r="AR68"/>
      <c r="AS68" s="39"/>
      <c r="AT68" s="39"/>
    </row>
    <row r="69" spans="1:48" x14ac:dyDescent="0.25">
      <c r="B69"/>
      <c r="C69"/>
      <c r="D69"/>
      <c r="E69" s="1"/>
      <c r="F69"/>
      <c r="G69"/>
      <c r="H69"/>
      <c r="I69"/>
      <c r="J69"/>
      <c r="K69"/>
      <c r="L69"/>
      <c r="AI69"/>
      <c r="AJ69"/>
      <c r="AK69" s="39"/>
      <c r="AL69" s="39"/>
      <c r="AQ69"/>
      <c r="AR69"/>
      <c r="AS69" s="39"/>
      <c r="AT69" s="39"/>
    </row>
    <row r="70" spans="1:48" x14ac:dyDescent="0.25">
      <c r="B70"/>
      <c r="C70"/>
      <c r="D70"/>
      <c r="E70" s="1"/>
      <c r="F70"/>
      <c r="G70"/>
      <c r="H70"/>
      <c r="I70"/>
      <c r="J70"/>
      <c r="K70"/>
      <c r="L70"/>
      <c r="AI70"/>
      <c r="AJ70"/>
      <c r="AK70" s="39"/>
      <c r="AL70" s="39"/>
      <c r="AQ70"/>
      <c r="AR70"/>
      <c r="AS70" s="39"/>
      <c r="AT70" s="39"/>
    </row>
    <row r="71" spans="1:48" x14ac:dyDescent="0.25">
      <c r="B71"/>
      <c r="C71"/>
      <c r="D71"/>
      <c r="E71" s="1"/>
      <c r="F71"/>
      <c r="G71"/>
      <c r="H71"/>
      <c r="I71"/>
      <c r="J71"/>
      <c r="K71"/>
      <c r="L71"/>
      <c r="AI71"/>
      <c r="AJ71"/>
      <c r="AK71" s="39"/>
      <c r="AL71" s="39"/>
      <c r="AQ71"/>
      <c r="AR71"/>
      <c r="AS71" s="39"/>
      <c r="AT71" s="39"/>
    </row>
    <row r="72" spans="1:48" x14ac:dyDescent="0.25">
      <c r="B72"/>
      <c r="C72"/>
      <c r="D72"/>
      <c r="E72" s="1"/>
      <c r="F72"/>
      <c r="G72"/>
      <c r="H72"/>
      <c r="I72"/>
      <c r="J72"/>
      <c r="K72"/>
      <c r="L72"/>
      <c r="AI72"/>
      <c r="AJ72"/>
      <c r="AK72" s="39"/>
      <c r="AL72" s="39"/>
      <c r="AQ72"/>
      <c r="AR72"/>
      <c r="AS72" s="39"/>
      <c r="AT72" s="39"/>
    </row>
    <row r="73" spans="1:48" x14ac:dyDescent="0.25">
      <c r="B73"/>
      <c r="C73"/>
      <c r="D73"/>
      <c r="E73" s="1"/>
      <c r="F73"/>
      <c r="G73"/>
      <c r="H73"/>
      <c r="I73"/>
      <c r="J73"/>
      <c r="K73"/>
      <c r="L73"/>
      <c r="AI73"/>
      <c r="AJ73"/>
      <c r="AK73" s="39"/>
      <c r="AL73" s="39"/>
      <c r="AQ73"/>
      <c r="AR73"/>
      <c r="AS73" s="39"/>
      <c r="AT73" s="39"/>
    </row>
    <row r="74" spans="1:48" x14ac:dyDescent="0.25">
      <c r="AI74"/>
      <c r="AJ74"/>
      <c r="AK74" s="39"/>
      <c r="AL74" s="39"/>
      <c r="AQ74"/>
      <c r="AR74"/>
      <c r="AS74" s="39"/>
      <c r="AT74" s="39"/>
    </row>
    <row r="75" spans="1:48" x14ac:dyDescent="0.25">
      <c r="AI75"/>
      <c r="AJ75"/>
      <c r="AK75" s="39"/>
      <c r="AL75" s="39"/>
      <c r="AQ75"/>
      <c r="AR75"/>
      <c r="AS75" s="39"/>
      <c r="AT75" s="39"/>
    </row>
    <row r="76" spans="1:48" x14ac:dyDescent="0.25">
      <c r="AI76"/>
      <c r="AJ76"/>
      <c r="AK76" s="39"/>
      <c r="AL76" s="39"/>
      <c r="AQ76"/>
      <c r="AR76"/>
      <c r="AS76" s="39"/>
      <c r="AT76" s="39"/>
    </row>
    <row r="77" spans="1:48" x14ac:dyDescent="0.25">
      <c r="AI77"/>
      <c r="AJ77"/>
      <c r="AK77" s="39"/>
      <c r="AL77" s="39"/>
      <c r="AQ77"/>
      <c r="AR77"/>
      <c r="AS77" s="39"/>
      <c r="AT77" s="39"/>
    </row>
    <row r="78" spans="1:48" x14ac:dyDescent="0.25">
      <c r="V78" s="47"/>
      <c r="W78" s="47"/>
      <c r="X78" s="47"/>
      <c r="Y78" s="47"/>
      <c r="Z78" s="47"/>
      <c r="AA78" s="47"/>
      <c r="AB78" s="47"/>
      <c r="AC78" s="47"/>
      <c r="AD78" s="47"/>
      <c r="AI78"/>
      <c r="AJ78"/>
      <c r="AK78" s="39"/>
      <c r="AL78" s="39"/>
      <c r="AQ78"/>
      <c r="AR78"/>
      <c r="AS78" s="39"/>
      <c r="AT78" s="39"/>
    </row>
    <row r="79" spans="1:48" x14ac:dyDescent="0.25">
      <c r="B79"/>
      <c r="C79"/>
      <c r="E79" s="74"/>
      <c r="F79" s="74"/>
      <c r="G79" s="1"/>
      <c r="H79"/>
      <c r="I79" s="74"/>
      <c r="J79"/>
      <c r="K79"/>
      <c r="L79" s="74"/>
      <c r="V79" s="47"/>
      <c r="W79" s="47"/>
      <c r="X79" s="47"/>
      <c r="Y79" s="47"/>
      <c r="Z79" s="47"/>
      <c r="AA79" s="47"/>
      <c r="AB79" s="47"/>
      <c r="AC79" s="47"/>
      <c r="AD79" s="47"/>
      <c r="AE79" s="47"/>
      <c r="AI79"/>
      <c r="AJ79"/>
      <c r="AK79" s="39"/>
      <c r="AL79" s="39"/>
      <c r="AQ79"/>
      <c r="AR79"/>
      <c r="AS79" s="39"/>
      <c r="AT79" s="39"/>
    </row>
    <row r="80" spans="1:48" s="47" customFormat="1" x14ac:dyDescent="0.25">
      <c r="A80" s="46"/>
      <c r="B80" s="82"/>
      <c r="C80" s="82"/>
      <c r="D80" s="82"/>
      <c r="E80" s="82"/>
      <c r="F80" s="82"/>
      <c r="G80" s="82"/>
      <c r="H80" s="83"/>
      <c r="I80" s="82"/>
      <c r="J80" s="82"/>
      <c r="K80" s="82"/>
      <c r="L80" s="82"/>
      <c r="M80" s="46"/>
      <c r="N80" s="46"/>
      <c r="O80" s="46"/>
      <c r="P80" s="46"/>
      <c r="Q80" s="46"/>
      <c r="R80" s="46"/>
      <c r="S80" s="46"/>
      <c r="AI80"/>
      <c r="AJ80" s="83"/>
      <c r="AK80" s="39"/>
      <c r="AL80" s="42"/>
      <c r="AM80" s="46"/>
      <c r="AN80" s="46"/>
      <c r="AQ80"/>
      <c r="AR80" s="83"/>
      <c r="AS80" s="39"/>
      <c r="AT80" s="42"/>
      <c r="AU80" s="46"/>
      <c r="AV80" s="46"/>
    </row>
    <row r="81" spans="1:37" s="47" customFormat="1" x14ac:dyDescent="0.25">
      <c r="A81" s="74"/>
      <c r="B81" s="84"/>
      <c r="C81" s="85"/>
      <c r="D81" s="84"/>
      <c r="E81" s="84"/>
      <c r="F81" s="84"/>
      <c r="G81" s="84"/>
      <c r="H81" s="83"/>
      <c r="I81" s="84"/>
      <c r="J81" s="84"/>
      <c r="K81" s="85"/>
      <c r="L81" s="85"/>
      <c r="M81" s="74"/>
      <c r="N81" s="74"/>
      <c r="O81" s="1"/>
      <c r="P81" s="46"/>
      <c r="Q81" s="46"/>
      <c r="R81" s="46"/>
      <c r="S81" s="46"/>
      <c r="V81" s="46"/>
      <c r="W81" s="46"/>
      <c r="X81" s="46"/>
      <c r="Y81" s="46"/>
      <c r="Z81" s="46"/>
      <c r="AA81" s="46"/>
      <c r="AB81" s="46"/>
      <c r="AC81" s="46"/>
      <c r="AD81" s="46"/>
      <c r="AI81" s="43"/>
      <c r="AJ81" s="43"/>
      <c r="AK81" s="55"/>
    </row>
    <row r="82" spans="1:37" s="47" customFormat="1" x14ac:dyDescent="0.25">
      <c r="A82" s="82"/>
      <c r="B82" s="84"/>
      <c r="C82" s="84"/>
      <c r="D82" s="84"/>
      <c r="E82" s="84"/>
      <c r="F82" s="84"/>
      <c r="G82" s="84"/>
      <c r="H82" s="83"/>
      <c r="I82" s="84"/>
      <c r="J82" s="84"/>
      <c r="K82" s="84"/>
      <c r="L82" s="84"/>
      <c r="M82" s="82"/>
      <c r="N82" s="82"/>
      <c r="O82" s="82"/>
      <c r="V82" s="46"/>
      <c r="W82" s="46"/>
      <c r="X82" s="46"/>
      <c r="Y82" s="46"/>
      <c r="Z82" s="46"/>
      <c r="AA82" s="46"/>
      <c r="AB82" s="46"/>
      <c r="AC82" s="46"/>
      <c r="AD82" s="46"/>
      <c r="AE82" s="46"/>
      <c r="AI82" s="43"/>
      <c r="AJ82" s="43"/>
      <c r="AK82" s="55"/>
    </row>
    <row r="83" spans="1:37" x14ac:dyDescent="0.25">
      <c r="A83" s="84"/>
      <c r="B83"/>
      <c r="C83" s="39"/>
      <c r="D83" s="39"/>
      <c r="H83"/>
      <c r="I83"/>
      <c r="J83"/>
      <c r="K83" s="39"/>
      <c r="L83" s="39"/>
      <c r="M83" s="85"/>
      <c r="N83" s="85"/>
      <c r="O83" s="84"/>
      <c r="P83" s="47"/>
      <c r="Q83" s="47"/>
      <c r="R83" s="47"/>
      <c r="S83" s="47"/>
      <c r="AI83" s="38"/>
      <c r="AJ83" s="38"/>
      <c r="AK83" s="51"/>
    </row>
    <row r="84" spans="1:37" x14ac:dyDescent="0.25">
      <c r="A84" s="84"/>
      <c r="B84"/>
      <c r="C84" s="39"/>
      <c r="D84" s="39"/>
      <c r="H84" s="81"/>
      <c r="I84"/>
      <c r="J84"/>
      <c r="K84" s="39"/>
      <c r="L84" s="39"/>
      <c r="M84" s="84"/>
      <c r="N84" s="84"/>
      <c r="O84" s="84"/>
      <c r="P84" s="47"/>
      <c r="Q84" s="47"/>
      <c r="R84" s="47"/>
      <c r="S84" s="47"/>
      <c r="AI84" s="38"/>
      <c r="AJ84" s="38"/>
      <c r="AK84" s="51"/>
    </row>
    <row r="85" spans="1:37" x14ac:dyDescent="0.25">
      <c r="A85"/>
      <c r="B85"/>
      <c r="C85" s="39"/>
      <c r="D85" s="39"/>
      <c r="I85"/>
      <c r="J85"/>
      <c r="K85" s="39"/>
      <c r="L85" s="39"/>
      <c r="AI85" s="38"/>
      <c r="AJ85" s="38"/>
      <c r="AK85" s="51"/>
    </row>
    <row r="86" spans="1:37" x14ac:dyDescent="0.25">
      <c r="A86"/>
      <c r="B86"/>
      <c r="C86" s="39"/>
      <c r="D86" s="39"/>
      <c r="I86"/>
      <c r="J86"/>
      <c r="K86" s="39"/>
      <c r="L86" s="39"/>
      <c r="AI86" s="38"/>
      <c r="AJ86" s="38"/>
      <c r="AK86" s="51"/>
    </row>
    <row r="87" spans="1:37" x14ac:dyDescent="0.25">
      <c r="A87"/>
      <c r="B87"/>
      <c r="C87" s="39"/>
      <c r="D87" s="39"/>
      <c r="H87" s="47"/>
      <c r="I87"/>
      <c r="J87"/>
      <c r="K87" s="39"/>
      <c r="L87" s="39"/>
      <c r="O87" s="47"/>
      <c r="AI87" s="38"/>
      <c r="AJ87" s="38"/>
      <c r="AK87" s="51"/>
    </row>
    <row r="88" spans="1:37" x14ac:dyDescent="0.25">
      <c r="A88"/>
      <c r="B88"/>
      <c r="C88" s="39"/>
      <c r="D88" s="39"/>
      <c r="H88" s="47"/>
      <c r="I88"/>
      <c r="J88"/>
      <c r="K88" s="39"/>
      <c r="L88" s="39"/>
      <c r="O88" s="47"/>
      <c r="AI88" s="38"/>
      <c r="AJ88" s="38"/>
      <c r="AK88" s="51"/>
    </row>
    <row r="89" spans="1:37" x14ac:dyDescent="0.25">
      <c r="A89"/>
      <c r="B89"/>
      <c r="C89" s="39"/>
      <c r="D89" s="39"/>
      <c r="H89" s="47"/>
      <c r="I89"/>
      <c r="J89"/>
      <c r="K89" s="39"/>
      <c r="L89" s="39"/>
      <c r="O89" s="47"/>
      <c r="AI89" s="38"/>
      <c r="AJ89" s="38"/>
      <c r="AK89" s="51"/>
    </row>
    <row r="90" spans="1:37" x14ac:dyDescent="0.25">
      <c r="A90"/>
      <c r="B90"/>
      <c r="C90" s="39"/>
      <c r="D90" s="39"/>
      <c r="H90" s="47"/>
      <c r="I90"/>
      <c r="J90"/>
      <c r="K90" s="39"/>
      <c r="L90" s="39"/>
      <c r="O90" s="47"/>
      <c r="AI90" s="38"/>
      <c r="AJ90" s="38"/>
      <c r="AK90" s="51"/>
    </row>
    <row r="91" spans="1:37" x14ac:dyDescent="0.25">
      <c r="A91"/>
      <c r="B91"/>
      <c r="C91" s="39"/>
      <c r="D91" s="39"/>
      <c r="H91" s="47"/>
      <c r="I91"/>
      <c r="J91"/>
      <c r="K91" s="39"/>
      <c r="L91" s="39"/>
      <c r="O91" s="47"/>
      <c r="AI91" s="38"/>
      <c r="AJ91" s="38"/>
      <c r="AK91" s="51"/>
    </row>
    <row r="92" spans="1:37" x14ac:dyDescent="0.25">
      <c r="A92"/>
      <c r="B92"/>
      <c r="C92" s="39"/>
      <c r="D92" s="39"/>
      <c r="H92" s="47"/>
      <c r="I92"/>
      <c r="J92"/>
      <c r="K92" s="39"/>
      <c r="L92" s="39"/>
      <c r="O92" s="47"/>
      <c r="AI92" s="38"/>
      <c r="AJ92" s="38"/>
      <c r="AK92" s="51"/>
    </row>
    <row r="93" spans="1:37" x14ac:dyDescent="0.25">
      <c r="A93"/>
      <c r="B93"/>
      <c r="C93" s="39"/>
      <c r="D93" s="39"/>
      <c r="H93" s="47"/>
      <c r="I93"/>
      <c r="J93"/>
      <c r="K93" s="39"/>
      <c r="L93" s="39"/>
      <c r="O93" s="47"/>
      <c r="AI93" s="38"/>
      <c r="AJ93" s="38"/>
      <c r="AK93" s="51"/>
    </row>
    <row r="94" spans="1:37" x14ac:dyDescent="0.25">
      <c r="A94"/>
      <c r="B94"/>
      <c r="C94" s="39"/>
      <c r="D94" s="39"/>
      <c r="H94" s="47"/>
      <c r="I94"/>
      <c r="J94"/>
      <c r="K94" s="39"/>
      <c r="L94" s="39"/>
      <c r="O94" s="47"/>
      <c r="AI94" s="38"/>
      <c r="AJ94" s="38"/>
      <c r="AK94" s="51"/>
    </row>
    <row r="95" spans="1:37" x14ac:dyDescent="0.25">
      <c r="A95"/>
      <c r="B95"/>
      <c r="C95" s="39"/>
      <c r="D95" s="39"/>
      <c r="H95" s="47"/>
      <c r="I95"/>
      <c r="J95"/>
      <c r="K95" s="39"/>
      <c r="L95" s="39"/>
      <c r="O95" s="47"/>
      <c r="AI95" s="38"/>
      <c r="AJ95" s="38"/>
      <c r="AK95" s="51"/>
    </row>
    <row r="96" spans="1:37" x14ac:dyDescent="0.25">
      <c r="A96"/>
      <c r="B96"/>
      <c r="C96" s="39"/>
      <c r="D96" s="39"/>
      <c r="H96" s="47"/>
      <c r="I96"/>
      <c r="J96"/>
      <c r="K96" s="39"/>
      <c r="L96" s="39"/>
      <c r="O96" s="47"/>
      <c r="AI96" s="38"/>
      <c r="AJ96" s="38"/>
      <c r="AK96" s="51"/>
    </row>
    <row r="97" spans="1:37" x14ac:dyDescent="0.25">
      <c r="A97"/>
      <c r="B97"/>
      <c r="C97" s="39"/>
      <c r="D97" s="39"/>
      <c r="H97" s="47"/>
      <c r="I97"/>
      <c r="J97"/>
      <c r="K97" s="39"/>
      <c r="L97" s="39"/>
      <c r="O97" s="47"/>
      <c r="AI97" s="38"/>
      <c r="AJ97" s="38"/>
      <c r="AK97" s="51"/>
    </row>
    <row r="98" spans="1:37" x14ac:dyDescent="0.25">
      <c r="A98"/>
      <c r="B98"/>
      <c r="C98" s="39"/>
      <c r="D98" s="39"/>
      <c r="H98" s="47"/>
      <c r="I98"/>
      <c r="J98"/>
      <c r="K98" s="39"/>
      <c r="L98" s="39"/>
      <c r="O98" s="47"/>
      <c r="AI98" s="38"/>
      <c r="AJ98" s="38"/>
      <c r="AK98" s="51"/>
    </row>
    <row r="99" spans="1:37" x14ac:dyDescent="0.25">
      <c r="A99"/>
      <c r="B99"/>
      <c r="C99" s="39"/>
      <c r="D99" s="39"/>
      <c r="H99" s="47"/>
      <c r="I99"/>
      <c r="J99"/>
      <c r="K99" s="39"/>
      <c r="L99" s="39"/>
      <c r="O99" s="47"/>
      <c r="AI99" s="38"/>
      <c r="AJ99" s="38"/>
      <c r="AK99" s="51"/>
    </row>
    <row r="100" spans="1:37" x14ac:dyDescent="0.25">
      <c r="A100"/>
      <c r="B100"/>
      <c r="C100" s="39"/>
      <c r="D100" s="39"/>
      <c r="H100" s="47"/>
      <c r="I100"/>
      <c r="J100"/>
      <c r="K100" s="39"/>
      <c r="L100" s="39"/>
      <c r="O100" s="47"/>
      <c r="AI100" s="38"/>
      <c r="AJ100" s="38"/>
      <c r="AK100" s="51"/>
    </row>
    <row r="101" spans="1:37" x14ac:dyDescent="0.25">
      <c r="A101"/>
      <c r="B101"/>
      <c r="C101" s="39"/>
      <c r="D101" s="39"/>
      <c r="H101" s="47"/>
      <c r="I101"/>
      <c r="J101"/>
      <c r="K101" s="39"/>
      <c r="L101" s="39"/>
      <c r="O101" s="47"/>
      <c r="AI101" s="38"/>
      <c r="AJ101" s="38"/>
      <c r="AK101" s="51"/>
    </row>
    <row r="102" spans="1:37" x14ac:dyDescent="0.25">
      <c r="A102"/>
      <c r="B102"/>
      <c r="C102" s="39"/>
      <c r="D102" s="39"/>
      <c r="I102"/>
      <c r="J102"/>
      <c r="K102" s="39"/>
      <c r="L102" s="39"/>
      <c r="AI102" s="38"/>
      <c r="AJ102" s="38"/>
      <c r="AK102" s="51"/>
    </row>
    <row r="103" spans="1:37" x14ac:dyDescent="0.25">
      <c r="A103"/>
      <c r="B103"/>
      <c r="C103" s="39"/>
      <c r="D103" s="39"/>
      <c r="I103"/>
      <c r="J103"/>
      <c r="K103" s="39"/>
      <c r="L103" s="39"/>
      <c r="AI103" s="38"/>
      <c r="AJ103" s="38"/>
      <c r="AK103" s="51"/>
    </row>
    <row r="104" spans="1:37" x14ac:dyDescent="0.25">
      <c r="A104"/>
      <c r="B104"/>
      <c r="C104" s="39"/>
      <c r="D104" s="39"/>
      <c r="I104"/>
      <c r="J104"/>
      <c r="K104" s="39"/>
      <c r="L104" s="39"/>
      <c r="AI104" s="38"/>
      <c r="AJ104" s="38"/>
      <c r="AK104" s="51"/>
    </row>
    <row r="105" spans="1:37" x14ac:dyDescent="0.25">
      <c r="A105"/>
      <c r="B105"/>
      <c r="C105" s="39"/>
      <c r="D105" s="39"/>
      <c r="I105"/>
      <c r="J105"/>
      <c r="K105" s="39"/>
      <c r="L105" s="39"/>
      <c r="AI105" s="38"/>
      <c r="AJ105" s="38"/>
      <c r="AK105" s="51"/>
    </row>
    <row r="106" spans="1:37" x14ac:dyDescent="0.25">
      <c r="A106"/>
      <c r="B106"/>
      <c r="C106" s="39"/>
      <c r="D106" s="39"/>
      <c r="I106"/>
      <c r="J106"/>
      <c r="K106" s="39"/>
      <c r="L106" s="39"/>
      <c r="AI106" s="38"/>
      <c r="AJ106" s="38"/>
      <c r="AK106" s="51"/>
    </row>
    <row r="107" spans="1:37" x14ac:dyDescent="0.25">
      <c r="A107"/>
      <c r="B107"/>
      <c r="C107" s="39"/>
      <c r="D107" s="39"/>
      <c r="I107"/>
      <c r="J107"/>
      <c r="K107" s="39"/>
      <c r="L107" s="39"/>
      <c r="AI107" s="38"/>
      <c r="AJ107" s="38"/>
      <c r="AK107" s="51"/>
    </row>
    <row r="108" spans="1:37" x14ac:dyDescent="0.25">
      <c r="A108"/>
      <c r="B108"/>
      <c r="C108" s="39"/>
      <c r="D108" s="39"/>
      <c r="I108"/>
      <c r="J108"/>
      <c r="K108" s="39"/>
      <c r="L108" s="39"/>
      <c r="AI108" s="38"/>
      <c r="AJ108" s="38"/>
      <c r="AK108" s="51"/>
    </row>
    <row r="109" spans="1:37" x14ac:dyDescent="0.25">
      <c r="A109"/>
      <c r="B109"/>
      <c r="C109" s="39"/>
      <c r="D109" s="39"/>
      <c r="I109"/>
      <c r="J109"/>
      <c r="K109" s="39"/>
      <c r="L109" s="39"/>
      <c r="AI109" s="38"/>
      <c r="AJ109" s="38"/>
      <c r="AK109" s="51"/>
    </row>
    <row r="110" spans="1:37" x14ac:dyDescent="0.25">
      <c r="A110"/>
      <c r="B110"/>
      <c r="C110" s="39"/>
      <c r="D110" s="39"/>
      <c r="I110"/>
      <c r="J110"/>
      <c r="K110" s="39"/>
      <c r="L110" s="39"/>
      <c r="AI110" s="38"/>
      <c r="AJ110" s="38"/>
      <c r="AK110" s="51"/>
    </row>
    <row r="111" spans="1:37" x14ac:dyDescent="0.25">
      <c r="A111"/>
      <c r="B111"/>
      <c r="C111" s="39"/>
      <c r="D111" s="39"/>
      <c r="I111"/>
      <c r="J111"/>
      <c r="K111" s="39"/>
      <c r="L111" s="39"/>
      <c r="AI111" s="38"/>
      <c r="AJ111" s="38"/>
      <c r="AK111" s="51"/>
    </row>
    <row r="112" spans="1:37" x14ac:dyDescent="0.25">
      <c r="A112"/>
      <c r="B112"/>
      <c r="C112" s="39"/>
      <c r="D112" s="39"/>
      <c r="I112"/>
      <c r="J112"/>
      <c r="K112" s="39"/>
      <c r="L112" s="39"/>
      <c r="AI112" s="38"/>
      <c r="AJ112" s="38"/>
      <c r="AK112" s="51"/>
    </row>
    <row r="113" spans="1:37" x14ac:dyDescent="0.25">
      <c r="A113"/>
      <c r="B113"/>
      <c r="C113" s="39"/>
      <c r="D113" s="39"/>
      <c r="I113"/>
      <c r="J113"/>
      <c r="K113" s="39"/>
      <c r="L113" s="39"/>
      <c r="AI113" s="38"/>
      <c r="AJ113" s="38"/>
      <c r="AK113" s="51"/>
    </row>
    <row r="114" spans="1:37" x14ac:dyDescent="0.25">
      <c r="A114"/>
      <c r="B114"/>
      <c r="C114" s="39"/>
      <c r="D114" s="39"/>
      <c r="I114"/>
      <c r="J114"/>
      <c r="K114" s="39"/>
      <c r="L114" s="39"/>
      <c r="AI114" s="38"/>
      <c r="AJ114" s="38"/>
      <c r="AK114" s="51"/>
    </row>
    <row r="115" spans="1:37" x14ac:dyDescent="0.25">
      <c r="A115"/>
      <c r="B115"/>
      <c r="C115" s="39"/>
      <c r="D115" s="39"/>
      <c r="I115"/>
      <c r="J115"/>
      <c r="K115" s="39"/>
      <c r="L115" s="39"/>
      <c r="AI115" s="38"/>
      <c r="AJ115" s="38"/>
      <c r="AK115" s="51"/>
    </row>
    <row r="116" spans="1:37" x14ac:dyDescent="0.25">
      <c r="A116"/>
      <c r="B116"/>
      <c r="C116" s="39"/>
      <c r="D116" s="39"/>
      <c r="I116"/>
      <c r="J116"/>
      <c r="K116" s="39"/>
      <c r="L116" s="39"/>
      <c r="AI116" s="38"/>
      <c r="AJ116" s="38"/>
      <c r="AK116" s="51"/>
    </row>
    <row r="117" spans="1:37" x14ac:dyDescent="0.25">
      <c r="A117"/>
      <c r="B117"/>
      <c r="C117" s="39"/>
      <c r="D117" s="39"/>
      <c r="I117"/>
      <c r="J117"/>
      <c r="K117" s="39"/>
      <c r="L117" s="39"/>
      <c r="AI117" s="38"/>
      <c r="AJ117" s="38"/>
      <c r="AK117" s="51"/>
    </row>
    <row r="118" spans="1:37" x14ac:dyDescent="0.25">
      <c r="A118"/>
      <c r="B118"/>
      <c r="C118" s="39"/>
      <c r="D118" s="39"/>
      <c r="I118"/>
      <c r="J118"/>
      <c r="K118" s="39"/>
      <c r="L118" s="39"/>
      <c r="AI118" s="38"/>
      <c r="AJ118" s="38"/>
      <c r="AK118" s="51"/>
    </row>
    <row r="119" spans="1:37" x14ac:dyDescent="0.25">
      <c r="A119"/>
      <c r="B119"/>
      <c r="C119" s="39"/>
      <c r="D119" s="39"/>
      <c r="I119"/>
      <c r="J119"/>
      <c r="K119" s="39"/>
      <c r="L119" s="39"/>
      <c r="AI119" s="38"/>
      <c r="AJ119" s="38"/>
      <c r="AK119" s="51"/>
    </row>
    <row r="120" spans="1:37" x14ac:dyDescent="0.25">
      <c r="A120"/>
      <c r="B120"/>
      <c r="C120" s="39"/>
      <c r="D120" s="39"/>
      <c r="I120"/>
      <c r="J120"/>
      <c r="K120" s="39"/>
      <c r="L120" s="39"/>
      <c r="AI120" s="38"/>
      <c r="AJ120" s="38"/>
      <c r="AK120" s="51"/>
    </row>
    <row r="121" spans="1:37" x14ac:dyDescent="0.25">
      <c r="A121"/>
      <c r="B121"/>
      <c r="C121" s="39"/>
      <c r="D121" s="39"/>
      <c r="I121"/>
      <c r="J121"/>
      <c r="K121" s="39"/>
      <c r="L121" s="39"/>
      <c r="AI121" s="38"/>
      <c r="AJ121" s="38"/>
      <c r="AK121" s="51"/>
    </row>
    <row r="122" spans="1:37" x14ac:dyDescent="0.25">
      <c r="A122"/>
      <c r="B122"/>
      <c r="C122" s="39"/>
      <c r="D122" s="39"/>
      <c r="I122"/>
      <c r="J122"/>
      <c r="K122" s="39"/>
      <c r="L122" s="39"/>
      <c r="AI122" s="38"/>
      <c r="AJ122" s="38"/>
      <c r="AK122" s="51"/>
    </row>
    <row r="123" spans="1:37" x14ac:dyDescent="0.25">
      <c r="A123"/>
      <c r="B123"/>
      <c r="C123" s="39"/>
      <c r="D123" s="39"/>
      <c r="I123"/>
      <c r="J123"/>
      <c r="K123" s="39"/>
      <c r="L123" s="39"/>
      <c r="AI123" s="38"/>
      <c r="AJ123" s="38"/>
      <c r="AK123" s="51"/>
    </row>
    <row r="124" spans="1:37" x14ac:dyDescent="0.25">
      <c r="A124"/>
      <c r="B124"/>
      <c r="C124" s="39"/>
      <c r="D124" s="39"/>
      <c r="I124"/>
      <c r="J124"/>
      <c r="K124" s="39"/>
      <c r="L124" s="39"/>
      <c r="AI124" s="38"/>
      <c r="AJ124" s="38"/>
      <c r="AK124" s="51"/>
    </row>
    <row r="125" spans="1:37" x14ac:dyDescent="0.25">
      <c r="A125"/>
      <c r="B125"/>
      <c r="C125" s="39"/>
      <c r="D125" s="39"/>
      <c r="I125"/>
      <c r="J125"/>
      <c r="K125" s="39"/>
      <c r="L125" s="39"/>
      <c r="AI125" s="38"/>
      <c r="AJ125" s="38"/>
      <c r="AK125" s="51"/>
    </row>
    <row r="126" spans="1:37" x14ac:dyDescent="0.25">
      <c r="A126"/>
      <c r="B126"/>
      <c r="C126" s="39"/>
      <c r="D126" s="39"/>
      <c r="I126"/>
      <c r="J126"/>
      <c r="K126" s="39"/>
      <c r="L126" s="39"/>
      <c r="AI126" s="38"/>
      <c r="AJ126" s="38"/>
      <c r="AK126" s="51"/>
    </row>
    <row r="127" spans="1:37" x14ac:dyDescent="0.25">
      <c r="A127"/>
      <c r="B127"/>
      <c r="C127" s="39"/>
      <c r="D127" s="39"/>
      <c r="I127"/>
      <c r="J127"/>
      <c r="K127" s="39"/>
      <c r="L127" s="39"/>
      <c r="AI127" s="38"/>
      <c r="AJ127" s="38"/>
      <c r="AK127" s="51"/>
    </row>
    <row r="128" spans="1:37" x14ac:dyDescent="0.25">
      <c r="A128"/>
      <c r="B128"/>
      <c r="C128" s="39"/>
      <c r="D128" s="39"/>
      <c r="I128"/>
      <c r="J128"/>
      <c r="K128" s="39"/>
      <c r="L128" s="39"/>
      <c r="AI128" s="38"/>
      <c r="AJ128" s="38"/>
      <c r="AK128" s="51"/>
    </row>
    <row r="129" spans="1:37" x14ac:dyDescent="0.25">
      <c r="A129"/>
      <c r="B129"/>
      <c r="C129" s="39"/>
      <c r="D129" s="39"/>
      <c r="I129"/>
      <c r="J129"/>
      <c r="K129" s="39"/>
      <c r="L129" s="39"/>
      <c r="AI129" s="38"/>
      <c r="AJ129" s="38"/>
      <c r="AK129" s="51"/>
    </row>
    <row r="130" spans="1:37" x14ac:dyDescent="0.25">
      <c r="A130"/>
      <c r="B130"/>
      <c r="C130" s="39"/>
      <c r="D130" s="39"/>
      <c r="I130"/>
      <c r="J130"/>
      <c r="K130" s="39"/>
      <c r="L130" s="39"/>
      <c r="AI130" s="38"/>
      <c r="AJ130" s="38"/>
      <c r="AK130" s="51"/>
    </row>
    <row r="131" spans="1:37" x14ac:dyDescent="0.25">
      <c r="A131"/>
      <c r="AI131" s="38"/>
      <c r="AJ131" s="38"/>
      <c r="AK131" s="51"/>
    </row>
    <row r="132" spans="1:37" x14ac:dyDescent="0.25">
      <c r="A132"/>
      <c r="AI132" s="38"/>
      <c r="AJ132" s="38"/>
      <c r="AK132" s="51"/>
    </row>
    <row r="133" spans="1:37" x14ac:dyDescent="0.25">
      <c r="AI133" s="38"/>
      <c r="AJ133" s="38"/>
      <c r="AK133" s="51"/>
    </row>
    <row r="134" spans="1:37" x14ac:dyDescent="0.25">
      <c r="AI134" s="38"/>
      <c r="AJ134" s="38"/>
      <c r="AK134" s="51"/>
    </row>
    <row r="135" spans="1:37" x14ac:dyDescent="0.25">
      <c r="AI135" s="38"/>
      <c r="AJ135" s="38"/>
      <c r="AK135" s="51"/>
    </row>
    <row r="136" spans="1:37" x14ac:dyDescent="0.25">
      <c r="AI136" s="38"/>
      <c r="AJ136" s="38"/>
      <c r="AK136" s="51"/>
    </row>
    <row r="137" spans="1:37" x14ac:dyDescent="0.25">
      <c r="AI137" s="38"/>
      <c r="AJ137" s="38"/>
      <c r="AK137" s="51"/>
    </row>
    <row r="138" spans="1:37" x14ac:dyDescent="0.25">
      <c r="AI138" s="38"/>
      <c r="AJ138" s="38"/>
      <c r="AK138" s="51"/>
    </row>
    <row r="139" spans="1:37" x14ac:dyDescent="0.25">
      <c r="AI139" s="38"/>
      <c r="AJ139" s="38"/>
      <c r="AK139" s="51"/>
    </row>
    <row r="140" spans="1:37" x14ac:dyDescent="0.25">
      <c r="AI140" s="38"/>
      <c r="AJ140" s="38"/>
      <c r="AK140" s="51"/>
    </row>
    <row r="141" spans="1:37" x14ac:dyDescent="0.25">
      <c r="AI141" s="38"/>
      <c r="AJ141" s="38"/>
      <c r="AK141" s="51"/>
    </row>
    <row r="142" spans="1:37" x14ac:dyDescent="0.25">
      <c r="AI142" s="38"/>
      <c r="AJ142" s="38"/>
      <c r="AK142" s="51"/>
    </row>
    <row r="143" spans="1:37" x14ac:dyDescent="0.25">
      <c r="AI143" s="38"/>
      <c r="AJ143" s="38"/>
      <c r="AK143" s="51"/>
    </row>
    <row r="144" spans="1:37" x14ac:dyDescent="0.25">
      <c r="AI144" s="38"/>
      <c r="AJ144" s="38"/>
      <c r="AK144" s="51"/>
    </row>
    <row r="145" spans="35:37" x14ac:dyDescent="0.25">
      <c r="AI145" s="38"/>
      <c r="AJ145" s="38"/>
      <c r="AK145" s="51"/>
    </row>
    <row r="146" spans="35:37" x14ac:dyDescent="0.25">
      <c r="AI146" s="38"/>
      <c r="AJ146" s="38"/>
      <c r="AK146" s="51"/>
    </row>
    <row r="147" spans="35:37" x14ac:dyDescent="0.25">
      <c r="AI147" s="38"/>
      <c r="AJ147" s="38"/>
      <c r="AK147" s="51"/>
    </row>
    <row r="148" spans="35:37" x14ac:dyDescent="0.25">
      <c r="AI148" s="38"/>
      <c r="AJ148" s="38"/>
      <c r="AK148" s="51"/>
    </row>
    <row r="149" spans="35:37" x14ac:dyDescent="0.25">
      <c r="AI149" s="38"/>
      <c r="AJ149" s="38"/>
      <c r="AK149" s="51"/>
    </row>
    <row r="150" spans="35:37" x14ac:dyDescent="0.25">
      <c r="AI150" s="38"/>
      <c r="AJ150" s="38"/>
      <c r="AK150" s="51"/>
    </row>
    <row r="151" spans="35:37" x14ac:dyDescent="0.25">
      <c r="AI151" s="38"/>
      <c r="AJ151" s="38"/>
      <c r="AK151" s="51"/>
    </row>
    <row r="152" spans="35:37" x14ac:dyDescent="0.25">
      <c r="AI152" s="38"/>
      <c r="AJ152" s="38"/>
      <c r="AK152" s="51"/>
    </row>
    <row r="153" spans="35:37" x14ac:dyDescent="0.25">
      <c r="AI153" s="38"/>
      <c r="AJ153" s="38"/>
      <c r="AK153" s="51"/>
    </row>
    <row r="154" spans="35:37" x14ac:dyDescent="0.25">
      <c r="AI154" s="38"/>
      <c r="AJ154" s="38"/>
      <c r="AK154" s="51"/>
    </row>
    <row r="155" spans="35:37" x14ac:dyDescent="0.25">
      <c r="AI155" s="38"/>
      <c r="AJ155" s="38"/>
      <c r="AK155" s="51"/>
    </row>
    <row r="156" spans="35:37" x14ac:dyDescent="0.25">
      <c r="AI156" s="38"/>
      <c r="AJ156" s="38"/>
      <c r="AK156" s="51"/>
    </row>
  </sheetData>
  <phoneticPr fontId="24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PRI_Sector_Fuels</vt:lpstr>
      <vt:lpstr>DemTechs_INDF</vt:lpstr>
    </vt:vector>
  </TitlesOfParts>
  <Company>KanORS Consulting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Meselu Tegenie Mellaku</cp:lastModifiedBy>
  <dcterms:created xsi:type="dcterms:W3CDTF">2005-06-03T09:41:13Z</dcterms:created>
  <dcterms:modified xsi:type="dcterms:W3CDTF">2026-03-02T12:49:58Z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891491115093231</vt:r8>
  </property>
  <property fmtid="{D5CDD505-2E9C-101B-9397-08002B2CF9AE}" pid="3" name="MSIP_Label_d0484126-3486-41a9-802e-7f1e2277276c_Enabled">
    <vt:lpwstr>true</vt:lpwstr>
  </property>
  <property fmtid="{D5CDD505-2E9C-101B-9397-08002B2CF9AE}" pid="4" name="MSIP_Label_d0484126-3486-41a9-802e-7f1e2277276c_SetDate">
    <vt:lpwstr>2025-10-11T16:06:34Z</vt:lpwstr>
  </property>
  <property fmtid="{D5CDD505-2E9C-101B-9397-08002B2CF9AE}" pid="5" name="MSIP_Label_d0484126-3486-41a9-802e-7f1e2277276c_Method">
    <vt:lpwstr>Standard</vt:lpwstr>
  </property>
  <property fmtid="{D5CDD505-2E9C-101B-9397-08002B2CF9AE}" pid="6" name="MSIP_Label_d0484126-3486-41a9-802e-7f1e2277276c_Name">
    <vt:lpwstr>d0484126-3486-41a9-802e-7f1e2277276c</vt:lpwstr>
  </property>
  <property fmtid="{D5CDD505-2E9C-101B-9397-08002B2CF9AE}" pid="7" name="MSIP_Label_d0484126-3486-41a9-802e-7f1e2277276c_SiteId">
    <vt:lpwstr>eec01f8e-737f-43e3-9ed5-f8a59913bd82</vt:lpwstr>
  </property>
  <property fmtid="{D5CDD505-2E9C-101B-9397-08002B2CF9AE}" pid="8" name="MSIP_Label_d0484126-3486-41a9-802e-7f1e2277276c_ActionId">
    <vt:lpwstr>f8b9e7a1-4aa7-4d95-b0b7-b2f09d7a5476</vt:lpwstr>
  </property>
  <property fmtid="{D5CDD505-2E9C-101B-9397-08002B2CF9AE}" pid="9" name="MSIP_Label_d0484126-3486-41a9-802e-7f1e2277276c_ContentBits">
    <vt:lpwstr>0</vt:lpwstr>
  </property>
  <property fmtid="{D5CDD505-2E9C-101B-9397-08002B2CF9AE}" pid="10" name="MSIP_Label_d0484126-3486-41a9-802e-7f1e2277276c_Tag">
    <vt:lpwstr>10, 3, 0, 1</vt:lpwstr>
  </property>
</Properties>
</file>