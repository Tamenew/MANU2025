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eduumb-my.sharepoint.com/personal/meselu_tegenie_mellaku_nmbu_no/Documents/Documents/GitHub/MANU2025/SubRES_TMPL/"/>
    </mc:Choice>
  </mc:AlternateContent>
  <xr:revisionPtr revIDLastSave="29" documentId="13_ncr:1_{09C30E30-F94B-441F-9C9E-5FF239EF9DB8}" xr6:coauthVersionLast="47" xr6:coauthVersionMax="47" xr10:uidLastSave="{1972A3F0-7201-4D01-B590-C935F37EF6A4}"/>
  <bookViews>
    <workbookView xWindow="-110" yWindow="-110" windowWidth="19420" windowHeight="11500" activeTab="1" xr2:uid="{00000000-000D-0000-FFFF-FFFF00000000}"/>
  </bookViews>
  <sheets>
    <sheet name="PRI_Sector_Fuels" sheetId="6" r:id="rId1"/>
    <sheet name="DemTechs_INDF" sheetId="7" r:id="rId2"/>
  </sheets>
  <definedNames>
    <definedName name="FID_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7" i="7" l="1"/>
  <c r="C26" i="7"/>
  <c r="C25" i="7"/>
  <c r="D28" i="6"/>
  <c r="D29" i="6"/>
  <c r="B28" i="6"/>
  <c r="B29" i="6"/>
  <c r="C30" i="7"/>
  <c r="C29" i="7"/>
  <c r="C28" i="7"/>
  <c r="D20" i="7"/>
  <c r="B31" i="7"/>
  <c r="B30" i="7"/>
  <c r="B29" i="7"/>
  <c r="B28" i="7"/>
  <c r="C24" i="7"/>
  <c r="D27" i="7"/>
  <c r="D22" i="7"/>
  <c r="D21" i="7"/>
  <c r="B27" i="6"/>
  <c r="B27" i="7"/>
  <c r="B26" i="7"/>
  <c r="B25" i="7"/>
  <c r="B24" i="7"/>
  <c r="D27" i="6"/>
  <c r="D26" i="6"/>
  <c r="B22" i="7"/>
  <c r="B23" i="7"/>
  <c r="B21" i="7"/>
  <c r="C23" i="7"/>
  <c r="C21" i="7"/>
  <c r="B20" i="7"/>
  <c r="Q27" i="6"/>
  <c r="F44" i="7"/>
  <c r="D2" i="7"/>
  <c r="Q26" i="6"/>
  <c r="B26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2A19E25C-9533-4C9F-A407-57D984DCF506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F7F5F318-75A1-4325-A88B-2F82BF3DD5FC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53BB6E19-8339-471B-8B5C-196BDFD2E19C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11D04B3A-3D96-45B8-B9E2-F02C1D38F09E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EC1F27C8-E4A5-4958-8210-00C9EAD805E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J23" authorId="2" shapeId="0" xr:uid="{08A0A247-5B70-4F6A-BE7F-DF9684B12478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T23" authorId="2" shapeId="0" xr:uid="{89F66F35-9E7D-4CFE-82E2-FED540200A6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23" authorId="1" shapeId="0" xr:uid="{BFBE1E56-B2CF-4342-9D18-7A5625043F27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23" authorId="2" shapeId="0" xr:uid="{32A4C634-AF1C-4AC8-8B25-E2B72657AC1B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24" authorId="2" shapeId="0" xr:uid="{CC49012E-D54F-4799-8BAE-EA97B5C3A29A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V3" authorId="0" shapeId="0" xr:uid="{55A1C4CC-2CE1-4EC9-89C3-19F6C183A19B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AA3" authorId="1" shapeId="0" xr:uid="{B2B38135-7F48-40C5-9C6D-9368B3BD2092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AB3" authorId="2" shapeId="0" xr:uid="{345773E6-DE00-4CE0-B8BB-8B089B62942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3" authorId="2" shapeId="0" xr:uid="{31DAF2B0-786F-4E95-9CBB-D182F2EED3B5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AD3" authorId="2" shapeId="0" xr:uid="{555C1793-7B9E-49B9-8EB3-17347BDEF24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B17" authorId="2" shapeId="0" xr:uid="{5EE58488-723F-4683-9026-2F0EE70F8071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17" authorId="1" shapeId="0" xr:uid="{308E9284-8F99-498B-A3DD-262799AF67EB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D17" authorId="2" shapeId="0" xr:uid="{FD29F772-15B8-47C4-8D7A-88CCF8F71647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V18" authorId="2" shapeId="0" xr:uid="{BAA0F8AB-741B-4302-9E54-000CB5DC4ACF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<sst xmlns="http://schemas.openxmlformats.org/spreadsheetml/2006/main" count="839" uniqueCount="211">
  <si>
    <t>~FI_T</t>
  </si>
  <si>
    <t>TechName</t>
  </si>
  <si>
    <t>TechDesc</t>
  </si>
  <si>
    <t>Comm-IN</t>
  </si>
  <si>
    <t>Comm-OUT</t>
  </si>
  <si>
    <t>FIXOM</t>
  </si>
  <si>
    <t>CommName</t>
  </si>
  <si>
    <t>~FI_Comm</t>
  </si>
  <si>
    <t>Csets</t>
  </si>
  <si>
    <t>CommDesc</t>
  </si>
  <si>
    <t>Unit</t>
  </si>
  <si>
    <t>LimType</t>
  </si>
  <si>
    <t>CTSLvl</t>
  </si>
  <si>
    <t>PeakTS</t>
  </si>
  <si>
    <t>Ctype</t>
  </si>
  <si>
    <t>Sets</t>
  </si>
  <si>
    <t>EFF</t>
  </si>
  <si>
    <t>~FI_Process</t>
  </si>
  <si>
    <t>Tact</t>
  </si>
  <si>
    <t>Tcap</t>
  </si>
  <si>
    <t>Tslvl</t>
  </si>
  <si>
    <t>PrimaryCG</t>
  </si>
  <si>
    <t>Vintage</t>
  </si>
  <si>
    <t>Commodity Name</t>
  </si>
  <si>
    <t>Commodity Description</t>
  </si>
  <si>
    <t>Peak Monitoring</t>
  </si>
  <si>
    <t>Electricity Indicator</t>
  </si>
  <si>
    <t>Technology Name</t>
  </si>
  <si>
    <t>Technology Description</t>
  </si>
  <si>
    <t>Activity Unit</t>
  </si>
  <si>
    <t>Capacity Unit</t>
  </si>
  <si>
    <t>Vintage Tracking</t>
  </si>
  <si>
    <t>Input Commodity</t>
  </si>
  <si>
    <t>Output Commodity</t>
  </si>
  <si>
    <t>AFA</t>
  </si>
  <si>
    <t>Efficiency</t>
  </si>
  <si>
    <t>INVCOST</t>
  </si>
  <si>
    <t>Fixed O&amp;M Cost</t>
  </si>
  <si>
    <t>Sector Name</t>
  </si>
  <si>
    <t>Description</t>
  </si>
  <si>
    <t>Type</t>
  </si>
  <si>
    <t>Currency Unit</t>
  </si>
  <si>
    <t>Region</t>
  </si>
  <si>
    <t>*Commodity Set Membership</t>
  </si>
  <si>
    <t>Region Name</t>
  </si>
  <si>
    <t>Sense of the Balance EQN.</t>
  </si>
  <si>
    <t>Timeslice Level</t>
  </si>
  <si>
    <t>LIFE</t>
  </si>
  <si>
    <t>*Technology Name</t>
  </si>
  <si>
    <t>Utilisation Factor</t>
  </si>
  <si>
    <t>*Process Set Membership</t>
  </si>
  <si>
    <t>TimeSlice level of Process Activity</t>
  </si>
  <si>
    <t>Primary Commodity Group</t>
  </si>
  <si>
    <t>*Units</t>
  </si>
  <si>
    <t>Years</t>
  </si>
  <si>
    <t>Year</t>
  </si>
  <si>
    <t>CAP2ACT</t>
  </si>
  <si>
    <t>Lifetime</t>
  </si>
  <si>
    <t>GWh</t>
  </si>
  <si>
    <t>NRG</t>
  </si>
  <si>
    <t>GAS</t>
  </si>
  <si>
    <t>BIO</t>
  </si>
  <si>
    <t>Biomass</t>
  </si>
  <si>
    <t>SOL</t>
  </si>
  <si>
    <t>MIN</t>
  </si>
  <si>
    <t>CSP</t>
  </si>
  <si>
    <t>Furnace</t>
  </si>
  <si>
    <t>MANGASMIN</t>
  </si>
  <si>
    <t>MANBIOMIN</t>
  </si>
  <si>
    <t>ELC</t>
  </si>
  <si>
    <t>Commodity</t>
  </si>
  <si>
    <t>Default Unit</t>
  </si>
  <si>
    <t>WIND</t>
  </si>
  <si>
    <t>Wind</t>
  </si>
  <si>
    <t>Solar</t>
  </si>
  <si>
    <t>Ngas</t>
  </si>
  <si>
    <t>COST</t>
  </si>
  <si>
    <t>ACT_BND</t>
  </si>
  <si>
    <t>Cost</t>
  </si>
  <si>
    <t>Annual Production Bound</t>
  </si>
  <si>
    <t>conversion factor from cap to act</t>
  </si>
  <si>
    <t>*</t>
  </si>
  <si>
    <t>User inputs</t>
  </si>
  <si>
    <t>Linked to the Energy Balance</t>
  </si>
  <si>
    <t>Existing</t>
  </si>
  <si>
    <t>Input Share</t>
  </si>
  <si>
    <t>Inestment Cost</t>
  </si>
  <si>
    <t>MW</t>
  </si>
  <si>
    <t>DayNite</t>
  </si>
  <si>
    <t>GW per annum</t>
  </si>
  <si>
    <t>Annual energy consumption devided by the product of annual hours*effficiency</t>
  </si>
  <si>
    <t>Annual operating hours</t>
  </si>
  <si>
    <t>Natural Gas/Domestic</t>
  </si>
  <si>
    <t>WNDTRBN</t>
  </si>
  <si>
    <t>SOLPV</t>
  </si>
  <si>
    <t>Electricity from Solar PV</t>
  </si>
  <si>
    <t>Electricity from wind</t>
  </si>
  <si>
    <t>N</t>
  </si>
  <si>
    <t>MAN</t>
  </si>
  <si>
    <t>Mamufacturing</t>
  </si>
  <si>
    <t>Biomass boiler</t>
  </si>
  <si>
    <t>BIOBoiler</t>
  </si>
  <si>
    <t>BIOKiln</t>
  </si>
  <si>
    <t>GASBoiler</t>
  </si>
  <si>
    <t>Gas boiler</t>
  </si>
  <si>
    <t>ELCBoiler</t>
  </si>
  <si>
    <t>Electricity boiler</t>
  </si>
  <si>
    <t>Biomass kiln</t>
  </si>
  <si>
    <t>Industrial heat supplier using electricity</t>
  </si>
  <si>
    <t>Manufacturing heat from Solar</t>
  </si>
  <si>
    <t>HEAT</t>
  </si>
  <si>
    <t>ELCHEAT</t>
  </si>
  <si>
    <t>SOLHEAT</t>
  </si>
  <si>
    <t>BIOHEAT</t>
  </si>
  <si>
    <t>Electricity based process heat</t>
  </si>
  <si>
    <t>Bio based process heat</t>
  </si>
  <si>
    <t>Solar thermal for process heat</t>
  </si>
  <si>
    <t>VAROM</t>
  </si>
  <si>
    <t>Variable O&amp;M Cost</t>
  </si>
  <si>
    <t>MINBIO</t>
  </si>
  <si>
    <t>MINGAS</t>
  </si>
  <si>
    <t>ETH</t>
  </si>
  <si>
    <t>ENV_ACT</t>
  </si>
  <si>
    <t>Activity Emission Coefficient</t>
  </si>
  <si>
    <t>ktCO₂/GWh</t>
  </si>
  <si>
    <t>MANCO2</t>
  </si>
  <si>
    <t>RNWHEAT</t>
  </si>
  <si>
    <t>Renewable Heat Aggrigator</t>
  </si>
  <si>
    <t>MANHEAT</t>
  </si>
  <si>
    <t>CEMENTHEAT</t>
  </si>
  <si>
    <t>Attribute</t>
  </si>
  <si>
    <t>Demand Commodity Name</t>
  </si>
  <si>
    <t>W_01</t>
  </si>
  <si>
    <t>W_02</t>
  </si>
  <si>
    <t>W_03</t>
  </si>
  <si>
    <t>W_04</t>
  </si>
  <si>
    <t>W_05</t>
  </si>
  <si>
    <t>W_06</t>
  </si>
  <si>
    <t>W_07</t>
  </si>
  <si>
    <t>W_08</t>
  </si>
  <si>
    <t>W_09</t>
  </si>
  <si>
    <t>W_10</t>
  </si>
  <si>
    <t>W_11</t>
  </si>
  <si>
    <t>W_12</t>
  </si>
  <si>
    <t>W_13</t>
  </si>
  <si>
    <t>W_14</t>
  </si>
  <si>
    <t>W_15</t>
  </si>
  <si>
    <t>W_16</t>
  </si>
  <si>
    <t>W_17</t>
  </si>
  <si>
    <t>W_18</t>
  </si>
  <si>
    <t>W_19</t>
  </si>
  <si>
    <t>W_20</t>
  </si>
  <si>
    <t>W_21</t>
  </si>
  <si>
    <t>W_22</t>
  </si>
  <si>
    <t>W_23</t>
  </si>
  <si>
    <t>W_24</t>
  </si>
  <si>
    <t>D_01</t>
  </si>
  <si>
    <t>D_02</t>
  </si>
  <si>
    <t>D_03</t>
  </si>
  <si>
    <t>D_04</t>
  </si>
  <si>
    <t>D_05</t>
  </si>
  <si>
    <t>D_06</t>
  </si>
  <si>
    <t>D_07</t>
  </si>
  <si>
    <t>D_08</t>
  </si>
  <si>
    <t>D_09</t>
  </si>
  <si>
    <t>D_10</t>
  </si>
  <si>
    <t>D_11</t>
  </si>
  <si>
    <t>D_12</t>
  </si>
  <si>
    <t>D_13</t>
  </si>
  <si>
    <t>D_14</t>
  </si>
  <si>
    <t>D_15</t>
  </si>
  <si>
    <t>D_16</t>
  </si>
  <si>
    <t>D_17</t>
  </si>
  <si>
    <t>D_18</t>
  </si>
  <si>
    <t>D_19</t>
  </si>
  <si>
    <t>D_20</t>
  </si>
  <si>
    <t>D_21</t>
  </si>
  <si>
    <t>D_22</t>
  </si>
  <si>
    <t>D_23</t>
  </si>
  <si>
    <t>D_24</t>
  </si>
  <si>
    <t>FLO_FR</t>
  </si>
  <si>
    <t>TH2024USD/GWh</t>
  </si>
  <si>
    <t>TH$2024</t>
  </si>
  <si>
    <t>TH2024USD/MW</t>
  </si>
  <si>
    <t>Share-I~UP~2030</t>
  </si>
  <si>
    <t>~TFM_UPD</t>
  </si>
  <si>
    <t>REG</t>
  </si>
  <si>
    <t>PROCESS</t>
  </si>
  <si>
    <t>BioBoiler</t>
  </si>
  <si>
    <t>UP</t>
  </si>
  <si>
    <t>NCAP_BND</t>
  </si>
  <si>
    <t>START</t>
  </si>
  <si>
    <t>Bound on new capacity</t>
  </si>
  <si>
    <t>Share-I~UP~UP~2035</t>
  </si>
  <si>
    <t>Share-I~UP~UP~2040</t>
  </si>
  <si>
    <t>Share-I~UP~UP~2045</t>
  </si>
  <si>
    <t>Share-I~UP~UP~2050</t>
  </si>
  <si>
    <t>FX</t>
  </si>
  <si>
    <t>TimeSlices</t>
  </si>
  <si>
    <t>Wind Resource</t>
  </si>
  <si>
    <t>SOLAR</t>
  </si>
  <si>
    <t>Sollar Radation</t>
  </si>
  <si>
    <t>MINWIND</t>
  </si>
  <si>
    <t>MINSOLAR</t>
  </si>
  <si>
    <t>Solar Radation-Harnessed</t>
  </si>
  <si>
    <t>Wind Resource-Harnessed</t>
  </si>
  <si>
    <t>~TFM_DINS</t>
  </si>
  <si>
    <t>Cset_CN</t>
  </si>
  <si>
    <t>Pset_CN</t>
  </si>
  <si>
    <t>Timeslices</t>
  </si>
  <si>
    <t>All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</si>
</sst>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\Te\x\t"/>
    <numFmt numFmtId="166" formatCode="0.0"/>
  </numFmts>
  <fonts count="2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Courier"/>
      <family val="3"/>
    </font>
    <font>
      <b/>
      <sz val="10"/>
      <color indexed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sz val="10"/>
      <color rgb="FFFF0000"/>
      <name val="Arial"/>
      <family val="2"/>
    </font>
    <font>
      <sz val="11"/>
      <color rgb="FF9C6500"/>
      <name val="Calibri"/>
      <family val="2"/>
      <scheme val="minor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color rgb="FF00B050"/>
      <name val="Arial"/>
      <family val="2"/>
    </font>
    <font>
      <sz val="10"/>
      <color theme="1"/>
      <name val="Arial"/>
      <family val="2"/>
    </font>
    <font>
      <b/>
      <sz val="12"/>
      <color theme="1"/>
      <name val="Calibri"/>
      <family val="2"/>
      <scheme val="minor"/>
    </font>
    <font>
      <b/>
      <sz val="10"/>
      <color theme="1"/>
      <name val="Arial"/>
      <family val="2"/>
    </font>
    <font>
      <sz val="8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/>
      </patternFill>
    </fill>
    <fill>
      <patternFill patternType="solid">
        <fgColor rgb="FFC6EFCE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EB9C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6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</borders>
  <cellStyleXfs count="23">
    <xf numFmtId="0" fontId="0" fillId="0" borderId="0"/>
    <xf numFmtId="0" fontId="13" fillId="4" borderId="0" applyNumberFormat="0" applyBorder="0" applyAlignment="0" applyProtection="0"/>
    <xf numFmtId="164" fontId="12" fillId="0" borderId="0" applyFont="0" applyFill="0" applyBorder="0" applyAlignment="0" applyProtection="0"/>
    <xf numFmtId="0" fontId="14" fillId="5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2" fillId="0" borderId="0"/>
    <xf numFmtId="0" fontId="6" fillId="0" borderId="0"/>
    <xf numFmtId="0" fontId="4" fillId="0" borderId="0"/>
    <xf numFmtId="9" fontId="8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6" fillId="0" borderId="0"/>
    <xf numFmtId="0" fontId="3" fillId="3" borderId="0" applyNumberFormat="0" applyBorder="0" applyAlignment="0" applyProtection="0"/>
    <xf numFmtId="0" fontId="18" fillId="9" borderId="0" applyNumberFormat="0" applyBorder="0" applyAlignment="0" applyProtection="0"/>
    <xf numFmtId="0" fontId="3" fillId="3" borderId="0" applyNumberFormat="0" applyBorder="0" applyAlignment="0" applyProtection="0"/>
    <xf numFmtId="9" fontId="6" fillId="0" borderId="0" applyFont="0" applyFill="0" applyBorder="0" applyAlignment="0" applyProtection="0"/>
    <xf numFmtId="0" fontId="2" fillId="3" borderId="0" applyNumberFormat="0" applyBorder="0" applyAlignment="0" applyProtection="0"/>
  </cellStyleXfs>
  <cellXfs count="83">
    <xf numFmtId="0" fontId="0" fillId="0" borderId="0" xfId="0"/>
    <xf numFmtId="0" fontId="6" fillId="0" borderId="0" xfId="0" applyFont="1"/>
    <xf numFmtId="0" fontId="5" fillId="0" borderId="0" xfId="6" applyFont="1" applyAlignment="1">
      <alignment horizontal="left"/>
    </xf>
    <xf numFmtId="0" fontId="0" fillId="0" borderId="0" xfId="0" applyAlignment="1">
      <alignment wrapText="1"/>
    </xf>
    <xf numFmtId="0" fontId="13" fillId="4" borderId="0" xfId="1" applyAlignment="1">
      <alignment wrapText="1"/>
    </xf>
    <xf numFmtId="0" fontId="6" fillId="0" borderId="0" xfId="4"/>
    <xf numFmtId="165" fontId="5" fillId="0" borderId="0" xfId="0" applyNumberFormat="1" applyFont="1"/>
    <xf numFmtId="165" fontId="6" fillId="0" borderId="0" xfId="0" applyNumberFormat="1" applyFont="1"/>
    <xf numFmtId="165" fontId="7" fillId="2" borderId="2" xfId="0" applyNumberFormat="1" applyFont="1" applyFill="1" applyBorder="1" applyAlignment="1">
      <alignment horizontal="left"/>
    </xf>
    <xf numFmtId="165" fontId="7" fillId="2" borderId="3" xfId="0" applyNumberFormat="1" applyFont="1" applyFill="1" applyBorder="1" applyAlignment="1">
      <alignment horizontal="left"/>
    </xf>
    <xf numFmtId="165" fontId="0" fillId="0" borderId="0" xfId="0" applyNumberFormat="1"/>
    <xf numFmtId="0" fontId="15" fillId="8" borderId="0" xfId="3" applyFont="1" applyFill="1"/>
    <xf numFmtId="165" fontId="17" fillId="0" borderId="0" xfId="0" applyNumberFormat="1" applyFont="1"/>
    <xf numFmtId="165" fontId="16" fillId="3" borderId="1" xfId="18" applyNumberFormat="1" applyFont="1" applyBorder="1" applyAlignment="1">
      <alignment horizontal="left" wrapText="1"/>
    </xf>
    <xf numFmtId="0" fontId="17" fillId="0" borderId="0" xfId="0" applyFont="1"/>
    <xf numFmtId="0" fontId="7" fillId="2" borderId="2" xfId="0" applyFont="1" applyFill="1" applyBorder="1" applyAlignment="1">
      <alignment horizontal="left"/>
    </xf>
    <xf numFmtId="0" fontId="7" fillId="2" borderId="3" xfId="0" applyFont="1" applyFill="1" applyBorder="1" applyAlignment="1">
      <alignment horizontal="left"/>
    </xf>
    <xf numFmtId="0" fontId="7" fillId="2" borderId="2" xfId="0" applyFont="1" applyFill="1" applyBorder="1" applyAlignment="1">
      <alignment horizontal="center"/>
    </xf>
    <xf numFmtId="0" fontId="16" fillId="3" borderId="1" xfId="18" applyFont="1" applyBorder="1" applyAlignment="1">
      <alignment horizontal="left" wrapText="1"/>
    </xf>
    <xf numFmtId="0" fontId="16" fillId="3" borderId="0" xfId="18" applyFont="1" applyBorder="1" applyAlignment="1">
      <alignment horizontal="left" wrapText="1"/>
    </xf>
    <xf numFmtId="0" fontId="16" fillId="3" borderId="1" xfId="18" applyFont="1" applyBorder="1" applyAlignment="1">
      <alignment horizontal="center" wrapText="1"/>
    </xf>
    <xf numFmtId="0" fontId="16" fillId="3" borderId="0" xfId="18" applyFont="1" applyBorder="1" applyAlignment="1">
      <alignment horizontal="center" wrapText="1"/>
    </xf>
    <xf numFmtId="165" fontId="16" fillId="3" borderId="1" xfId="18" applyNumberFormat="1" applyFont="1" applyBorder="1" applyAlignment="1">
      <alignment horizontal="center" wrapText="1"/>
    </xf>
    <xf numFmtId="0" fontId="6" fillId="7" borderId="0" xfId="19" applyFont="1" applyFill="1"/>
    <xf numFmtId="2" fontId="6" fillId="7" borderId="0" xfId="0" applyNumberFormat="1" applyFont="1" applyFill="1"/>
    <xf numFmtId="1" fontId="17" fillId="10" borderId="0" xfId="0" applyNumberFormat="1" applyFont="1" applyFill="1"/>
    <xf numFmtId="2" fontId="6" fillId="10" borderId="0" xfId="0" applyNumberFormat="1" applyFont="1" applyFill="1"/>
    <xf numFmtId="165" fontId="0" fillId="0" borderId="0" xfId="0" applyNumberFormat="1" applyAlignment="1">
      <alignment wrapText="1"/>
    </xf>
    <xf numFmtId="2" fontId="6" fillId="0" borderId="0" xfId="0" applyNumberFormat="1" applyFont="1"/>
    <xf numFmtId="1" fontId="17" fillId="7" borderId="0" xfId="19" applyNumberFormat="1" applyFont="1" applyFill="1"/>
    <xf numFmtId="0" fontId="0" fillId="10" borderId="0" xfId="0" applyFill="1"/>
    <xf numFmtId="165" fontId="16" fillId="3" borderId="1" xfId="20" applyNumberFormat="1" applyFont="1" applyBorder="1" applyAlignment="1">
      <alignment horizontal="left" wrapText="1"/>
    </xf>
    <xf numFmtId="0" fontId="16" fillId="3" borderId="2" xfId="20" applyFont="1" applyBorder="1" applyAlignment="1">
      <alignment horizontal="left" wrapText="1"/>
    </xf>
    <xf numFmtId="0" fontId="16" fillId="3" borderId="3" xfId="20" applyFont="1" applyBorder="1" applyAlignment="1">
      <alignment horizontal="left" wrapText="1"/>
    </xf>
    <xf numFmtId="0" fontId="16" fillId="3" borderId="1" xfId="20" applyFont="1" applyBorder="1" applyAlignment="1">
      <alignment horizontal="left" wrapText="1"/>
    </xf>
    <xf numFmtId="0" fontId="16" fillId="3" borderId="1" xfId="20" applyFont="1" applyBorder="1" applyAlignment="1">
      <alignment horizontal="center" wrapText="1"/>
    </xf>
    <xf numFmtId="0" fontId="16" fillId="3" borderId="4" xfId="20" applyFont="1" applyBorder="1" applyAlignment="1">
      <alignment horizontal="center" wrapText="1"/>
    </xf>
    <xf numFmtId="165" fontId="21" fillId="0" borderId="0" xfId="0" applyNumberFormat="1" applyFont="1"/>
    <xf numFmtId="0" fontId="22" fillId="0" borderId="0" xfId="0" applyFont="1"/>
    <xf numFmtId="165" fontId="22" fillId="0" borderId="0" xfId="0" applyNumberFormat="1" applyFont="1"/>
    <xf numFmtId="165" fontId="22" fillId="0" borderId="0" xfId="0" applyNumberFormat="1" applyFont="1" applyAlignment="1">
      <alignment wrapText="1"/>
    </xf>
    <xf numFmtId="165" fontId="16" fillId="8" borderId="0" xfId="20" applyNumberFormat="1" applyFont="1" applyFill="1" applyBorder="1" applyAlignment="1">
      <alignment horizontal="left" wrapText="1"/>
    </xf>
    <xf numFmtId="165" fontId="22" fillId="8" borderId="0" xfId="0" applyNumberFormat="1" applyFont="1" applyFill="1"/>
    <xf numFmtId="0" fontId="22" fillId="8" borderId="0" xfId="0" applyFont="1" applyFill="1"/>
    <xf numFmtId="0" fontId="16" fillId="3" borderId="2" xfId="22" applyFont="1" applyBorder="1" applyAlignment="1">
      <alignment horizontal="left" wrapText="1"/>
    </xf>
    <xf numFmtId="0" fontId="16" fillId="3" borderId="1" xfId="22" applyFont="1" applyBorder="1" applyAlignment="1">
      <alignment horizontal="left" wrapText="1"/>
    </xf>
    <xf numFmtId="1" fontId="22" fillId="0" borderId="0" xfId="4" applyNumberFormat="1" applyFont="1"/>
    <xf numFmtId="0" fontId="1" fillId="4" borderId="0" xfId="1" applyFont="1"/>
    <xf numFmtId="0" fontId="22" fillId="0" borderId="0" xfId="4" applyFont="1"/>
    <xf numFmtId="0" fontId="22" fillId="8" borderId="0" xfId="4" applyFont="1" applyFill="1"/>
    <xf numFmtId="0" fontId="23" fillId="6" borderId="0" xfId="3" applyFont="1" applyFill="1"/>
    <xf numFmtId="0" fontId="23" fillId="6" borderId="0" xfId="3" applyFont="1" applyFill="1" applyAlignment="1">
      <alignment wrapText="1"/>
    </xf>
    <xf numFmtId="165" fontId="24" fillId="0" borderId="0" xfId="4" applyNumberFormat="1" applyFont="1"/>
    <xf numFmtId="165" fontId="22" fillId="0" borderId="0" xfId="4" applyNumberFormat="1" applyFont="1"/>
    <xf numFmtId="165" fontId="24" fillId="2" borderId="2" xfId="4" applyNumberFormat="1" applyFont="1" applyFill="1" applyBorder="1" applyAlignment="1">
      <alignment horizontal="left"/>
    </xf>
    <xf numFmtId="165" fontId="24" fillId="2" borderId="3" xfId="4" applyNumberFormat="1" applyFont="1" applyFill="1" applyBorder="1" applyAlignment="1">
      <alignment horizontal="left"/>
    </xf>
    <xf numFmtId="0" fontId="23" fillId="0" borderId="0" xfId="3" applyFont="1" applyFill="1"/>
    <xf numFmtId="165" fontId="22" fillId="8" borderId="0" xfId="4" applyNumberFormat="1" applyFont="1" applyFill="1"/>
    <xf numFmtId="0" fontId="24" fillId="0" borderId="0" xfId="6" applyFont="1" applyAlignment="1">
      <alignment horizontal="left"/>
    </xf>
    <xf numFmtId="0" fontId="24" fillId="2" borderId="2" xfId="6" applyFont="1" applyFill="1" applyBorder="1" applyAlignment="1">
      <alignment horizontal="left" vertical="center"/>
    </xf>
    <xf numFmtId="0" fontId="24" fillId="2" borderId="2" xfId="6" applyFont="1" applyFill="1" applyBorder="1" applyAlignment="1">
      <alignment horizontal="center" vertical="center" wrapText="1"/>
    </xf>
    <xf numFmtId="0" fontId="24" fillId="2" borderId="2" xfId="7" applyFont="1" applyFill="1" applyBorder="1" applyAlignment="1">
      <alignment horizontal="center" vertical="center" wrapText="1"/>
    </xf>
    <xf numFmtId="0" fontId="24" fillId="2" borderId="0" xfId="6" applyFont="1" applyFill="1" applyAlignment="1">
      <alignment horizontal="center" vertical="center" wrapText="1"/>
    </xf>
    <xf numFmtId="0" fontId="24" fillId="0" borderId="0" xfId="0" applyFont="1"/>
    <xf numFmtId="0" fontId="24" fillId="2" borderId="2" xfId="0" applyFont="1" applyFill="1" applyBorder="1" applyAlignment="1">
      <alignment vertical="center"/>
    </xf>
    <xf numFmtId="0" fontId="22" fillId="11" borderId="0" xfId="0" applyFont="1" applyFill="1"/>
    <xf numFmtId="165" fontId="22" fillId="11" borderId="0" xfId="0" applyNumberFormat="1" applyFont="1" applyFill="1"/>
    <xf numFmtId="165" fontId="22" fillId="11" borderId="0" xfId="0" applyNumberFormat="1" applyFont="1" applyFill="1" applyAlignment="1">
      <alignment wrapText="1"/>
    </xf>
    <xf numFmtId="0" fontId="24" fillId="8" borderId="0" xfId="0" applyFont="1" applyFill="1"/>
    <xf numFmtId="0" fontId="22" fillId="0" borderId="5" xfId="4" applyFont="1" applyBorder="1"/>
    <xf numFmtId="2" fontId="22" fillId="0" borderId="0" xfId="4" applyNumberFormat="1" applyFont="1"/>
    <xf numFmtId="9" fontId="22" fillId="8" borderId="0" xfId="21" applyFont="1" applyFill="1"/>
    <xf numFmtId="166" fontId="22" fillId="8" borderId="0" xfId="4" applyNumberFormat="1" applyFont="1" applyFill="1"/>
    <xf numFmtId="9" fontId="22" fillId="0" borderId="0" xfId="4" applyNumberFormat="1" applyFont="1"/>
    <xf numFmtId="166" fontId="22" fillId="0" borderId="0" xfId="4" applyNumberFormat="1" applyFont="1"/>
    <xf numFmtId="9" fontId="22" fillId="0" borderId="0" xfId="21" applyFont="1"/>
    <xf numFmtId="0" fontId="22" fillId="7" borderId="0" xfId="4" applyFont="1" applyFill="1"/>
    <xf numFmtId="0" fontId="22" fillId="10" borderId="0" xfId="4" applyFont="1" applyFill="1"/>
    <xf numFmtId="0" fontId="23" fillId="8" borderId="0" xfId="3" applyFont="1" applyFill="1"/>
    <xf numFmtId="0" fontId="5" fillId="0" borderId="0" xfId="0" applyFont="1"/>
    <xf numFmtId="0" fontId="6" fillId="2" borderId="1" xfId="0" applyFont="1" applyFill="1" applyBorder="1"/>
    <xf numFmtId="0" fontId="16" fillId="3" borderId="0" xfId="20" applyFont="1" applyBorder="1" applyAlignment="1">
      <alignment horizontal="left" wrapText="1"/>
    </xf>
    <xf numFmtId="0" fontId="16" fillId="3" borderId="0" xfId="20" applyFont="1" applyBorder="1" applyAlignment="1">
      <alignment horizontal="center" wrapText="1"/>
    </xf>
  </cellXfs>
  <cellStyles count="23">
    <cellStyle name="20% - Accent5" xfId="22" builtinId="46"/>
    <cellStyle name="20% - Accent5 2" xfId="18" xr:uid="{4C3A48E2-3C46-4D12-9A64-54698D8BF8EE}"/>
    <cellStyle name="20% - Accent5 3" xfId="20" xr:uid="{3013E58E-05D8-4A7E-9DD3-5FDB1B87B181}"/>
    <cellStyle name="Accent2" xfId="1" builtinId="33"/>
    <cellStyle name="Comma 2" xfId="2" xr:uid="{00000000-0005-0000-0000-000002000000}"/>
    <cellStyle name="Good" xfId="3" builtinId="26"/>
    <cellStyle name="Neutral 2" xfId="19" xr:uid="{F4CB6A30-052B-4BBD-966C-479BF0489D45}"/>
    <cellStyle name="Normal" xfId="0" builtinId="0"/>
    <cellStyle name="Normal 10" xfId="4" xr:uid="{00000000-0005-0000-0000-000005000000}"/>
    <cellStyle name="Normal 2" xfId="5" xr:uid="{00000000-0005-0000-0000-000006000000}"/>
    <cellStyle name="Normal 4" xfId="6" xr:uid="{00000000-0005-0000-0000-000007000000}"/>
    <cellStyle name="Normal 4 2" xfId="7" xr:uid="{00000000-0005-0000-0000-000008000000}"/>
    <cellStyle name="Normal 8" xfId="8" xr:uid="{00000000-0005-0000-0000-000009000000}"/>
    <cellStyle name="Normal 9 2" xfId="9" xr:uid="{00000000-0005-0000-0000-00000A000000}"/>
    <cellStyle name="Normale_B2020" xfId="10" xr:uid="{00000000-0005-0000-0000-00000B000000}"/>
    <cellStyle name="Per cent 2" xfId="21" xr:uid="{51C5E537-54D3-40E4-BB31-46A9F8839CE1}"/>
    <cellStyle name="Percent 2" xfId="11" xr:uid="{00000000-0005-0000-0000-00000C000000}"/>
    <cellStyle name="Percent 2 2" xfId="12" xr:uid="{00000000-0005-0000-0000-00000D000000}"/>
    <cellStyle name="Percent 3" xfId="13" xr:uid="{00000000-0005-0000-0000-00000E000000}"/>
    <cellStyle name="Percent 3 2" xfId="14" xr:uid="{00000000-0005-0000-0000-00000F000000}"/>
    <cellStyle name="Percent 4" xfId="15" xr:uid="{00000000-0005-0000-0000-000010000000}"/>
    <cellStyle name="Percent 5" xfId="16" xr:uid="{00000000-0005-0000-0000-000011000000}"/>
    <cellStyle name="Standard_Sce_D_Extraction" xfId="17" xr:uid="{00000000-0005-0000-0000-00001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129540</xdr:colOff>
      <xdr:row>55</xdr:row>
      <xdr:rowOff>137160</xdr:rowOff>
    </xdr:from>
    <xdr:to>
      <xdr:col>17</xdr:col>
      <xdr:colOff>133299</xdr:colOff>
      <xdr:row>64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134EA7B-FD36-4F10-9142-9732DF6B1312}"/>
            </a:ext>
          </a:extLst>
        </xdr:cNvPr>
        <xdr:cNvSpPr txBox="1"/>
      </xdr:nvSpPr>
      <xdr:spPr>
        <a:xfrm>
          <a:off x="8305800" y="8557260"/>
          <a:ext cx="529203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516548</xdr:colOff>
      <xdr:row>43</xdr:row>
      <xdr:rowOff>65943</xdr:rowOff>
    </xdr:from>
    <xdr:to>
      <xdr:col>24</xdr:col>
      <xdr:colOff>3771674</xdr:colOff>
      <xdr:row>48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90E0A094-A986-4947-A6ED-3B5001361863}"/>
            </a:ext>
          </a:extLst>
        </xdr:cNvPr>
        <xdr:cNvSpPr txBox="1"/>
      </xdr:nvSpPr>
      <xdr:spPr>
        <a:xfrm>
          <a:off x="10026308" y="629910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89C8C-2E2A-4CC1-9EB1-31AFA36FA445}">
  <dimension ref="A1:W67"/>
  <sheetViews>
    <sheetView topLeftCell="K2" zoomScale="142" zoomScaleNormal="142" workbookViewId="0">
      <selection activeCell="P8" sqref="P8"/>
    </sheetView>
  </sheetViews>
  <sheetFormatPr defaultRowHeight="12.5" x14ac:dyDescent="0.25"/>
  <cols>
    <col min="1" max="1" width="2" bestFit="1" customWidth="1"/>
    <col min="2" max="2" width="19.26953125" bestFit="1" customWidth="1"/>
    <col min="3" max="3" width="12.26953125" customWidth="1"/>
    <col min="4" max="4" width="18.7265625" bestFit="1" customWidth="1"/>
    <col min="5" max="5" width="7.54296875" bestFit="1" customWidth="1"/>
    <col min="6" max="6" width="18.26953125" bestFit="1" customWidth="1"/>
    <col min="7" max="7" width="8.26953125" bestFit="1" customWidth="1"/>
    <col min="8" max="8" width="17.7265625" bestFit="1" customWidth="1"/>
    <col min="9" max="9" width="8.81640625" bestFit="1" customWidth="1"/>
    <col min="10" max="10" width="13.7265625" bestFit="1" customWidth="1"/>
    <col min="11" max="13" width="13.7265625" customWidth="1"/>
    <col min="14" max="14" width="11.7265625" bestFit="1" customWidth="1"/>
    <col min="15" max="15" width="7.1796875" customWidth="1"/>
    <col min="16" max="16" width="21.453125" bestFit="1" customWidth="1"/>
    <col min="17" max="17" width="36.81640625" bestFit="1" customWidth="1"/>
    <col min="18" max="18" width="6.1796875" customWidth="1"/>
    <col min="19" max="19" width="11.54296875" customWidth="1"/>
    <col min="20" max="20" width="12.81640625" bestFit="1" customWidth="1"/>
    <col min="21" max="21" width="13.26953125" bestFit="1" customWidth="1"/>
    <col min="22" max="22" width="19.453125" bestFit="1" customWidth="1"/>
  </cols>
  <sheetData>
    <row r="1" spans="2:22" ht="29" x14ac:dyDescent="0.35">
      <c r="B1" s="4" t="s">
        <v>38</v>
      </c>
      <c r="C1" s="4" t="s">
        <v>70</v>
      </c>
      <c r="D1" s="4" t="s">
        <v>39</v>
      </c>
      <c r="E1" s="4" t="s">
        <v>71</v>
      </c>
      <c r="F1" s="4" t="s">
        <v>41</v>
      </c>
      <c r="G1" s="3"/>
    </row>
    <row r="2" spans="2:22" ht="15.5" x14ac:dyDescent="0.35">
      <c r="C2" s="38" t="s">
        <v>72</v>
      </c>
      <c r="D2" s="38" t="s">
        <v>73</v>
      </c>
      <c r="E2" s="78" t="s">
        <v>58</v>
      </c>
      <c r="F2" s="78" t="s">
        <v>181</v>
      </c>
      <c r="G2" s="14"/>
      <c r="N2" s="6" t="s">
        <v>7</v>
      </c>
      <c r="O2" s="6"/>
      <c r="P2" s="7"/>
      <c r="Q2" s="7"/>
      <c r="R2" s="7"/>
      <c r="S2" s="7"/>
      <c r="T2" s="7"/>
      <c r="U2" s="7"/>
      <c r="V2" s="7"/>
    </row>
    <row r="3" spans="2:22" ht="15.5" x14ac:dyDescent="0.35">
      <c r="C3" s="38" t="s">
        <v>63</v>
      </c>
      <c r="D3" s="38" t="s">
        <v>74</v>
      </c>
      <c r="E3" s="78" t="s">
        <v>58</v>
      </c>
      <c r="F3" s="78" t="s">
        <v>181</v>
      </c>
      <c r="G3" s="14"/>
      <c r="N3" s="8" t="s">
        <v>8</v>
      </c>
      <c r="O3" s="9" t="s">
        <v>42</v>
      </c>
      <c r="P3" s="8" t="s">
        <v>6</v>
      </c>
      <c r="Q3" s="8" t="s">
        <v>9</v>
      </c>
      <c r="R3" s="8" t="s">
        <v>10</v>
      </c>
      <c r="S3" s="8" t="s">
        <v>11</v>
      </c>
      <c r="T3" s="8" t="s">
        <v>12</v>
      </c>
      <c r="U3" s="8" t="s">
        <v>13</v>
      </c>
      <c r="V3" s="8" t="s">
        <v>14</v>
      </c>
    </row>
    <row r="4" spans="2:22" ht="22" thickBot="1" x14ac:dyDescent="0.4">
      <c r="C4" s="38" t="s">
        <v>61</v>
      </c>
      <c r="D4" s="38" t="s">
        <v>62</v>
      </c>
      <c r="E4" s="78" t="s">
        <v>58</v>
      </c>
      <c r="F4" s="78" t="s">
        <v>181</v>
      </c>
      <c r="G4" s="14"/>
      <c r="N4" s="13" t="s">
        <v>43</v>
      </c>
      <c r="O4" s="13" t="s">
        <v>44</v>
      </c>
      <c r="P4" s="13" t="s">
        <v>23</v>
      </c>
      <c r="Q4" s="13" t="s">
        <v>24</v>
      </c>
      <c r="R4" s="13" t="s">
        <v>10</v>
      </c>
      <c r="S4" s="13" t="s">
        <v>45</v>
      </c>
      <c r="T4" s="13" t="s">
        <v>46</v>
      </c>
      <c r="U4" s="13" t="s">
        <v>25</v>
      </c>
      <c r="V4" s="13" t="s">
        <v>26</v>
      </c>
    </row>
    <row r="5" spans="2:22" ht="15.5" x14ac:dyDescent="0.35">
      <c r="C5" s="38" t="s">
        <v>60</v>
      </c>
      <c r="D5" s="38" t="s">
        <v>75</v>
      </c>
      <c r="E5" s="78" t="s">
        <v>58</v>
      </c>
      <c r="F5" s="78" t="s">
        <v>181</v>
      </c>
      <c r="G5" s="14"/>
      <c r="N5" s="39" t="s">
        <v>59</v>
      </c>
      <c r="O5" s="39"/>
      <c r="P5" s="39" t="s">
        <v>68</v>
      </c>
      <c r="Q5" s="39" t="s">
        <v>62</v>
      </c>
      <c r="R5" s="39" t="s">
        <v>58</v>
      </c>
      <c r="S5" s="12"/>
      <c r="T5" s="12" t="s">
        <v>88</v>
      </c>
      <c r="U5" s="12"/>
      <c r="V5" s="12"/>
    </row>
    <row r="6" spans="2:22" ht="15.5" x14ac:dyDescent="0.35">
      <c r="C6" s="14"/>
      <c r="D6" s="14"/>
      <c r="E6" s="11"/>
      <c r="F6" s="11"/>
      <c r="G6" s="14"/>
      <c r="N6" s="39" t="s">
        <v>59</v>
      </c>
      <c r="O6" s="39"/>
      <c r="P6" s="39" t="s">
        <v>67</v>
      </c>
      <c r="Q6" s="39" t="s">
        <v>92</v>
      </c>
      <c r="R6" s="39" t="s">
        <v>58</v>
      </c>
      <c r="S6" s="12"/>
      <c r="T6" s="12" t="s">
        <v>88</v>
      </c>
      <c r="U6" s="12"/>
      <c r="V6" s="12"/>
    </row>
    <row r="7" spans="2:22" ht="15.5" x14ac:dyDescent="0.35">
      <c r="C7" s="14"/>
      <c r="D7" s="14"/>
      <c r="E7" s="11"/>
      <c r="F7" s="11"/>
      <c r="G7" s="14"/>
      <c r="N7" s="12" t="s">
        <v>59</v>
      </c>
      <c r="O7" s="12"/>
      <c r="P7" s="12" t="s">
        <v>72</v>
      </c>
      <c r="Q7" s="12" t="s">
        <v>199</v>
      </c>
      <c r="R7" s="12" t="s">
        <v>58</v>
      </c>
      <c r="S7" s="12"/>
      <c r="T7" s="12" t="s">
        <v>88</v>
      </c>
      <c r="U7" s="12"/>
      <c r="V7" s="12"/>
    </row>
    <row r="8" spans="2:22" x14ac:dyDescent="0.25">
      <c r="B8" s="14"/>
      <c r="C8" s="14"/>
      <c r="D8" s="14"/>
      <c r="E8" s="14"/>
      <c r="F8" s="14"/>
      <c r="G8" s="14"/>
      <c r="N8" s="37" t="s">
        <v>59</v>
      </c>
      <c r="O8" s="37"/>
      <c r="P8" s="37" t="s">
        <v>200</v>
      </c>
      <c r="Q8" s="37" t="s">
        <v>201</v>
      </c>
      <c r="R8" s="37" t="s">
        <v>58</v>
      </c>
      <c r="S8" s="12"/>
      <c r="T8" s="12" t="s">
        <v>88</v>
      </c>
      <c r="U8" s="12"/>
      <c r="V8" s="12"/>
    </row>
    <row r="9" spans="2:22" x14ac:dyDescent="0.25">
      <c r="B9" s="14"/>
      <c r="C9" s="14"/>
      <c r="D9" s="14"/>
      <c r="E9" s="14"/>
      <c r="F9" s="14"/>
      <c r="G9" s="14"/>
      <c r="H9" s="14"/>
      <c r="N9" s="37"/>
      <c r="O9" s="37"/>
      <c r="P9" s="37"/>
      <c r="Q9" s="37"/>
      <c r="R9" s="37"/>
      <c r="S9" s="12"/>
      <c r="T9" s="12"/>
      <c r="U9" s="12"/>
      <c r="V9" s="12"/>
    </row>
    <row r="10" spans="2:22" x14ac:dyDescent="0.25">
      <c r="B10" s="14"/>
      <c r="C10" s="14"/>
      <c r="D10" s="14"/>
      <c r="E10" s="14"/>
      <c r="F10" s="14"/>
      <c r="G10" s="14"/>
      <c r="H10" s="14"/>
      <c r="N10" s="14"/>
      <c r="O10" s="14"/>
      <c r="P10" s="14"/>
      <c r="Q10" s="14"/>
      <c r="R10" s="14"/>
      <c r="S10" s="12"/>
      <c r="T10" s="12"/>
      <c r="U10" s="12"/>
      <c r="V10" s="12"/>
    </row>
    <row r="11" spans="2:22" s="14" customFormat="1" x14ac:dyDescent="0.25">
      <c r="L11"/>
      <c r="M11"/>
      <c r="N11"/>
      <c r="O11"/>
      <c r="P11"/>
      <c r="Q11"/>
      <c r="R11"/>
      <c r="S11" s="12"/>
      <c r="T11" s="12"/>
      <c r="U11" s="12"/>
      <c r="V11" s="12"/>
    </row>
    <row r="12" spans="2:22" s="14" customFormat="1" x14ac:dyDescent="0.25">
      <c r="L12"/>
      <c r="M12"/>
      <c r="N12"/>
      <c r="O12"/>
      <c r="P12"/>
      <c r="Q12"/>
      <c r="R12"/>
      <c r="S12" s="12"/>
      <c r="T12" s="7"/>
      <c r="U12" s="7"/>
      <c r="V12" s="7"/>
    </row>
    <row r="13" spans="2:22" s="14" customFormat="1" x14ac:dyDescent="0.25">
      <c r="B13"/>
      <c r="C13"/>
      <c r="D13"/>
      <c r="E13"/>
      <c r="F13"/>
      <c r="G13"/>
      <c r="H13"/>
      <c r="L13"/>
      <c r="M13"/>
      <c r="N13"/>
      <c r="O13"/>
      <c r="P13"/>
      <c r="Q13"/>
      <c r="R13"/>
      <c r="S13"/>
      <c r="T13"/>
      <c r="U13"/>
      <c r="V13"/>
    </row>
    <row r="14" spans="2:22" s="14" customFormat="1" x14ac:dyDescent="0.25">
      <c r="B14"/>
      <c r="C14"/>
      <c r="D14"/>
      <c r="E14"/>
      <c r="F14"/>
      <c r="G14"/>
      <c r="H14"/>
      <c r="L14"/>
      <c r="M14"/>
      <c r="N14" s="7"/>
      <c r="O14" s="10"/>
      <c r="P14" s="7"/>
      <c r="Q14" s="7"/>
      <c r="R14" s="7"/>
      <c r="S14" s="7"/>
      <c r="T14" s="7"/>
      <c r="U14" s="7"/>
      <c r="V14" s="7"/>
    </row>
    <row r="15" spans="2:22" x14ac:dyDescent="0.25">
      <c r="N15" s="7"/>
      <c r="O15" s="10"/>
      <c r="P15" s="7"/>
      <c r="Q15" s="7"/>
      <c r="R15" s="7"/>
      <c r="S15" s="7"/>
      <c r="T15" s="7"/>
      <c r="U15" s="7"/>
      <c r="V15" s="7"/>
    </row>
    <row r="16" spans="2:22" x14ac:dyDescent="0.25">
      <c r="N16" s="7"/>
      <c r="O16" s="10"/>
      <c r="P16" s="7"/>
      <c r="Q16" s="7"/>
      <c r="R16" s="7"/>
      <c r="S16" s="7"/>
      <c r="T16" s="7"/>
      <c r="U16" s="7"/>
      <c r="V16" s="7"/>
    </row>
    <row r="17" spans="2:22" x14ac:dyDescent="0.25">
      <c r="N17" s="7"/>
      <c r="O17" s="10"/>
      <c r="P17" s="7"/>
      <c r="Q17" s="7"/>
      <c r="R17" s="7"/>
      <c r="S17" s="7"/>
      <c r="T17" s="7"/>
      <c r="U17" s="7"/>
      <c r="V17" s="7"/>
    </row>
    <row r="18" spans="2:22" x14ac:dyDescent="0.25">
      <c r="N18" s="7"/>
      <c r="O18" s="10"/>
      <c r="P18" s="7"/>
      <c r="Q18" s="7"/>
      <c r="R18" s="7"/>
      <c r="S18" s="7"/>
      <c r="T18" s="7"/>
      <c r="U18" s="7"/>
      <c r="V18" s="7"/>
    </row>
    <row r="19" spans="2:22" x14ac:dyDescent="0.25">
      <c r="N19" s="7"/>
      <c r="O19" s="10"/>
      <c r="P19" s="7"/>
      <c r="Q19" s="7"/>
      <c r="R19" s="7"/>
      <c r="S19" s="7"/>
      <c r="T19" s="7"/>
      <c r="U19" s="7"/>
      <c r="V19" s="7"/>
    </row>
    <row r="20" spans="2:22" x14ac:dyDescent="0.25">
      <c r="N20" s="7"/>
      <c r="O20" s="10"/>
      <c r="P20" s="7"/>
      <c r="Q20" s="7"/>
      <c r="R20" s="7"/>
      <c r="S20" s="7"/>
      <c r="T20" s="7"/>
      <c r="U20" s="7"/>
      <c r="V20" s="7"/>
    </row>
    <row r="21" spans="2:22" x14ac:dyDescent="0.25">
      <c r="N21" s="1"/>
      <c r="P21" s="1"/>
      <c r="Q21" s="1"/>
      <c r="R21" s="1"/>
      <c r="S21" s="1"/>
      <c r="T21" s="1"/>
      <c r="U21" s="1"/>
      <c r="V21" s="1"/>
    </row>
    <row r="22" spans="2:22" ht="13" x14ac:dyDescent="0.3">
      <c r="F22" s="2" t="s">
        <v>0</v>
      </c>
      <c r="G22" s="2"/>
      <c r="N22" s="6" t="s">
        <v>17</v>
      </c>
      <c r="O22" s="6"/>
      <c r="P22" s="10"/>
      <c r="Q22" s="10"/>
      <c r="R22" s="10"/>
      <c r="S22" s="10"/>
      <c r="T22" s="10"/>
      <c r="U22" s="10"/>
      <c r="V22" s="10"/>
    </row>
    <row r="23" spans="2:22" ht="13" x14ac:dyDescent="0.3">
      <c r="B23" s="15" t="s">
        <v>1</v>
      </c>
      <c r="C23" s="16" t="s">
        <v>3</v>
      </c>
      <c r="D23" s="15" t="s">
        <v>4</v>
      </c>
      <c r="E23" s="15" t="s">
        <v>55</v>
      </c>
      <c r="F23" s="15" t="s">
        <v>16</v>
      </c>
      <c r="G23" s="15" t="s">
        <v>34</v>
      </c>
      <c r="H23" s="17" t="s">
        <v>47</v>
      </c>
      <c r="I23" s="17" t="s">
        <v>76</v>
      </c>
      <c r="J23" s="17" t="s">
        <v>77</v>
      </c>
      <c r="K23" s="17" t="s">
        <v>56</v>
      </c>
      <c r="N23" s="8" t="s">
        <v>15</v>
      </c>
      <c r="O23" s="9" t="s">
        <v>42</v>
      </c>
      <c r="P23" s="8" t="s">
        <v>1</v>
      </c>
      <c r="Q23" s="8" t="s">
        <v>2</v>
      </c>
      <c r="R23" s="8" t="s">
        <v>18</v>
      </c>
      <c r="S23" s="8" t="s">
        <v>19</v>
      </c>
      <c r="T23" s="8" t="s">
        <v>20</v>
      </c>
      <c r="U23" s="8" t="s">
        <v>21</v>
      </c>
      <c r="V23" s="8" t="s">
        <v>22</v>
      </c>
    </row>
    <row r="24" spans="2:22" ht="21" thickBot="1" x14ac:dyDescent="0.3">
      <c r="B24" s="18" t="s">
        <v>48</v>
      </c>
      <c r="C24" s="18" t="s">
        <v>32</v>
      </c>
      <c r="D24" s="18" t="s">
        <v>33</v>
      </c>
      <c r="E24" s="18" t="s">
        <v>54</v>
      </c>
      <c r="F24" s="18" t="s">
        <v>35</v>
      </c>
      <c r="G24" s="18" t="s">
        <v>49</v>
      </c>
      <c r="H24" s="18" t="s">
        <v>57</v>
      </c>
      <c r="I24" s="18" t="s">
        <v>78</v>
      </c>
      <c r="J24" s="18" t="s">
        <v>79</v>
      </c>
      <c r="K24" s="19" t="s">
        <v>80</v>
      </c>
      <c r="N24" s="13" t="s">
        <v>50</v>
      </c>
      <c r="O24" s="13" t="s">
        <v>44</v>
      </c>
      <c r="P24" s="13" t="s">
        <v>27</v>
      </c>
      <c r="Q24" s="13" t="s">
        <v>28</v>
      </c>
      <c r="R24" s="13" t="s">
        <v>29</v>
      </c>
      <c r="S24" s="13" t="s">
        <v>30</v>
      </c>
      <c r="T24" s="13" t="s">
        <v>51</v>
      </c>
      <c r="U24" s="13" t="s">
        <v>52</v>
      </c>
      <c r="V24" s="13" t="s">
        <v>31</v>
      </c>
    </row>
    <row r="25" spans="2:22" ht="21" thickBot="1" x14ac:dyDescent="0.3">
      <c r="B25" s="18" t="s">
        <v>53</v>
      </c>
      <c r="C25" s="20"/>
      <c r="D25" s="20"/>
      <c r="E25" s="20"/>
      <c r="F25" s="20"/>
      <c r="G25" s="20"/>
      <c r="H25" s="20" t="s">
        <v>54</v>
      </c>
      <c r="I25" s="20" t="s">
        <v>181</v>
      </c>
      <c r="J25" s="20" t="s">
        <v>58</v>
      </c>
      <c r="K25" s="21"/>
      <c r="N25" s="13" t="s">
        <v>81</v>
      </c>
      <c r="O25" s="22" t="s">
        <v>121</v>
      </c>
      <c r="P25" s="22"/>
      <c r="Q25" s="22"/>
      <c r="R25" s="22"/>
      <c r="S25" s="22"/>
      <c r="T25" s="22"/>
      <c r="U25" s="22"/>
      <c r="V25" s="22"/>
    </row>
    <row r="26" spans="2:22" x14ac:dyDescent="0.25">
      <c r="B26" s="7" t="str">
        <f>P26</f>
        <v>MINBIO</v>
      </c>
      <c r="C26" s="10"/>
      <c r="D26" s="7" t="str">
        <f>P5</f>
        <v>MANBIOMIN</v>
      </c>
      <c r="E26" s="1">
        <v>2030</v>
      </c>
      <c r="F26" s="1">
        <v>1</v>
      </c>
      <c r="G26" s="1">
        <v>1</v>
      </c>
      <c r="H26" s="1">
        <v>50</v>
      </c>
      <c r="I26" s="24">
        <v>17.166319999999999</v>
      </c>
      <c r="J26" s="25"/>
      <c r="K26" s="26">
        <v>8.76</v>
      </c>
      <c r="N26" s="38" t="s">
        <v>64</v>
      </c>
      <c r="O26" s="38"/>
      <c r="P26" s="39" t="s">
        <v>119</v>
      </c>
      <c r="Q26" s="40" t="str">
        <f>"Domestic Supply of "&amp;$D$4&amp;" "</f>
        <v xml:space="preserve">Domestic Supply of Biomass </v>
      </c>
      <c r="R26" s="38" t="s">
        <v>58</v>
      </c>
      <c r="S26" s="38"/>
      <c r="T26" s="12" t="s">
        <v>88</v>
      </c>
    </row>
    <row r="27" spans="2:22" x14ac:dyDescent="0.25">
      <c r="B27" s="7" t="str">
        <f>P27</f>
        <v>MINGAS</v>
      </c>
      <c r="C27" s="10"/>
      <c r="D27" s="7" t="str">
        <f>P6</f>
        <v>MANGASMIN</v>
      </c>
      <c r="E27" s="1">
        <v>2030</v>
      </c>
      <c r="F27" s="1">
        <v>1</v>
      </c>
      <c r="G27" s="1">
        <v>1</v>
      </c>
      <c r="H27" s="1">
        <v>50</v>
      </c>
      <c r="I27" s="28">
        <v>33.817659999999997</v>
      </c>
      <c r="J27" s="29"/>
      <c r="K27" s="26">
        <v>8.76</v>
      </c>
      <c r="N27" s="38" t="s">
        <v>64</v>
      </c>
      <c r="O27" s="38"/>
      <c r="P27" s="39" t="s">
        <v>120</v>
      </c>
      <c r="Q27" s="40" t="str">
        <f>"Domestic Supply of "&amp;$D$5&amp;" "</f>
        <v xml:space="preserve">Domestic Supply of Ngas </v>
      </c>
      <c r="R27" s="38" t="s">
        <v>58</v>
      </c>
      <c r="S27" s="38"/>
      <c r="T27" s="12" t="s">
        <v>88</v>
      </c>
    </row>
    <row r="28" spans="2:22" x14ac:dyDescent="0.25">
      <c r="B28" s="7" t="str">
        <f t="shared" ref="B28:B29" si="0">P28</f>
        <v>MINWIND</v>
      </c>
      <c r="C28" s="10"/>
      <c r="D28" s="7" t="str">
        <f t="shared" ref="D28:D29" si="1">P7</f>
        <v>WIND</v>
      </c>
      <c r="E28" s="1">
        <v>2030</v>
      </c>
      <c r="F28" s="1">
        <v>1</v>
      </c>
      <c r="G28" s="1">
        <v>1</v>
      </c>
      <c r="H28" s="1">
        <v>100</v>
      </c>
      <c r="N28" s="38" t="s">
        <v>64</v>
      </c>
      <c r="P28" s="1" t="s">
        <v>202</v>
      </c>
      <c r="Q28" s="1" t="s">
        <v>205</v>
      </c>
      <c r="R28" s="38" t="s">
        <v>58</v>
      </c>
      <c r="S28" s="38"/>
      <c r="T28" s="12" t="s">
        <v>88</v>
      </c>
    </row>
    <row r="29" spans="2:22" x14ac:dyDescent="0.25">
      <c r="B29" s="7" t="str">
        <f t="shared" si="0"/>
        <v>MINSOLAR</v>
      </c>
      <c r="C29" s="10"/>
      <c r="D29" s="7" t="str">
        <f t="shared" si="1"/>
        <v>SOLAR</v>
      </c>
      <c r="E29" s="1">
        <v>2030</v>
      </c>
      <c r="F29" s="1">
        <v>1</v>
      </c>
      <c r="G29" s="1">
        <v>1</v>
      </c>
      <c r="H29" s="1">
        <v>100</v>
      </c>
      <c r="N29" s="38" t="s">
        <v>64</v>
      </c>
      <c r="O29" s="14"/>
      <c r="P29" s="14" t="s">
        <v>203</v>
      </c>
      <c r="Q29" s="14" t="s">
        <v>204</v>
      </c>
      <c r="R29" s="38" t="s">
        <v>58</v>
      </c>
      <c r="S29" s="38"/>
      <c r="T29" s="12" t="s">
        <v>88</v>
      </c>
    </row>
    <row r="30" spans="2:22" x14ac:dyDescent="0.25">
      <c r="B30" s="7"/>
      <c r="C30" s="10"/>
      <c r="D30" s="7"/>
      <c r="E30" s="1"/>
      <c r="F30" s="1"/>
      <c r="G30" s="1"/>
      <c r="H30" s="1"/>
      <c r="N30" s="14"/>
      <c r="O30" s="14"/>
      <c r="P30" s="14"/>
      <c r="Q30" s="14"/>
      <c r="R30" s="38"/>
      <c r="S30" s="38"/>
      <c r="T30" s="38"/>
    </row>
    <row r="31" spans="2:22" x14ac:dyDescent="0.25">
      <c r="B31" s="7"/>
      <c r="C31" s="10"/>
      <c r="D31" s="7"/>
      <c r="E31" s="1"/>
      <c r="F31" s="1"/>
      <c r="G31" s="1"/>
      <c r="H31" s="1"/>
      <c r="N31" s="14"/>
      <c r="O31" s="14"/>
      <c r="P31" s="14"/>
      <c r="Q31" s="14"/>
      <c r="R31" s="38"/>
      <c r="S31" s="38"/>
      <c r="T31" s="38"/>
    </row>
    <row r="32" spans="2:22" x14ac:dyDescent="0.25">
      <c r="B32" s="7"/>
      <c r="C32" s="10"/>
      <c r="D32" s="7"/>
      <c r="E32" s="1"/>
      <c r="F32" s="1"/>
      <c r="G32" s="1"/>
      <c r="H32" s="1"/>
      <c r="N32" s="14"/>
      <c r="O32" s="14"/>
      <c r="P32" s="14"/>
      <c r="Q32" s="14"/>
      <c r="R32" s="38"/>
      <c r="S32" s="38"/>
      <c r="T32" s="38"/>
    </row>
    <row r="33" spans="2:20" x14ac:dyDescent="0.25">
      <c r="B33" s="7"/>
      <c r="C33" s="10"/>
      <c r="D33" s="7"/>
      <c r="E33" s="1"/>
      <c r="F33" s="1"/>
      <c r="G33" s="1"/>
      <c r="H33" s="1"/>
      <c r="N33" s="14"/>
      <c r="O33" s="14"/>
      <c r="P33" s="14"/>
      <c r="Q33" s="14"/>
      <c r="R33" s="38"/>
      <c r="S33" s="38"/>
      <c r="T33" s="38"/>
    </row>
    <row r="34" spans="2:20" x14ac:dyDescent="0.25">
      <c r="B34" s="7"/>
      <c r="C34" s="10"/>
      <c r="D34" s="7"/>
      <c r="E34" s="1"/>
      <c r="F34" s="1"/>
      <c r="G34" s="1"/>
      <c r="H34" s="1"/>
      <c r="N34" s="1"/>
      <c r="P34" s="1"/>
      <c r="Q34" s="1"/>
      <c r="R34" s="38"/>
      <c r="S34" s="38"/>
      <c r="T34" s="38"/>
    </row>
    <row r="35" spans="2:20" x14ac:dyDescent="0.25">
      <c r="B35" s="7"/>
      <c r="C35" s="10"/>
      <c r="D35" s="7"/>
      <c r="E35" s="1"/>
      <c r="F35" s="1"/>
      <c r="G35" s="1"/>
      <c r="H35" s="1"/>
      <c r="N35" s="1"/>
      <c r="P35" s="1"/>
      <c r="Q35" s="1"/>
      <c r="R35" s="38"/>
      <c r="S35" s="38"/>
      <c r="T35" s="38"/>
    </row>
    <row r="36" spans="2:20" x14ac:dyDescent="0.25">
      <c r="B36" s="7"/>
      <c r="C36" s="10"/>
      <c r="D36" s="7"/>
      <c r="E36" s="1"/>
      <c r="F36" s="1"/>
      <c r="G36" s="1"/>
      <c r="H36" s="1"/>
      <c r="N36" s="1"/>
      <c r="P36" s="1"/>
      <c r="Q36" s="1"/>
      <c r="R36" s="38"/>
      <c r="S36" s="38"/>
      <c r="T36" s="38"/>
    </row>
    <row r="37" spans="2:20" x14ac:dyDescent="0.25">
      <c r="N37" s="1"/>
      <c r="P37" s="1"/>
      <c r="Q37" s="1"/>
    </row>
    <row r="38" spans="2:20" x14ac:dyDescent="0.25">
      <c r="B38" s="12"/>
      <c r="C38" s="12"/>
      <c r="D38" s="12"/>
      <c r="E38" s="14"/>
      <c r="F38" s="14"/>
      <c r="G38" s="14"/>
      <c r="H38" s="14"/>
      <c r="N38" s="1"/>
      <c r="P38" s="1"/>
      <c r="Q38" s="1"/>
      <c r="R38" s="14"/>
      <c r="S38" s="14"/>
      <c r="T38" s="14"/>
    </row>
    <row r="39" spans="2:20" x14ac:dyDescent="0.25">
      <c r="B39" s="12"/>
      <c r="C39" s="12"/>
      <c r="D39" s="12"/>
      <c r="E39" s="14"/>
      <c r="F39" s="14"/>
      <c r="G39" s="14"/>
      <c r="H39" s="14"/>
      <c r="N39" s="1"/>
      <c r="P39" s="1"/>
      <c r="Q39" s="1"/>
      <c r="R39" s="14"/>
      <c r="S39" s="14"/>
      <c r="T39" s="14"/>
    </row>
    <row r="40" spans="2:20" x14ac:dyDescent="0.25">
      <c r="B40" s="12"/>
      <c r="C40" s="12"/>
      <c r="D40" s="12"/>
      <c r="E40" s="14"/>
      <c r="F40" s="14"/>
      <c r="G40" s="14"/>
      <c r="H40" s="14"/>
      <c r="N40" s="1"/>
      <c r="P40" s="1"/>
      <c r="Q40" s="1"/>
      <c r="R40" s="14"/>
      <c r="S40" s="14"/>
      <c r="T40" s="14"/>
    </row>
    <row r="41" spans="2:20" x14ac:dyDescent="0.25">
      <c r="B41" s="12"/>
      <c r="C41" s="12"/>
      <c r="D41" s="12"/>
      <c r="E41" s="14"/>
      <c r="F41" s="14"/>
      <c r="G41" s="14"/>
      <c r="H41" s="14"/>
      <c r="N41" s="1"/>
      <c r="P41" s="1"/>
      <c r="Q41" s="1"/>
      <c r="R41" s="14"/>
      <c r="S41" s="14"/>
      <c r="T41" s="14"/>
    </row>
    <row r="42" spans="2:20" x14ac:dyDescent="0.25">
      <c r="B42" s="12"/>
      <c r="C42" s="12"/>
      <c r="D42" s="12"/>
      <c r="E42" s="14"/>
      <c r="F42" s="14"/>
      <c r="G42" s="14"/>
      <c r="H42" s="14"/>
      <c r="N42" s="1"/>
      <c r="P42" s="1"/>
      <c r="Q42" s="1"/>
      <c r="R42" s="14"/>
      <c r="S42" s="14"/>
      <c r="T42" s="14"/>
    </row>
    <row r="43" spans="2:20" x14ac:dyDescent="0.25">
      <c r="B43" s="7"/>
      <c r="C43" s="10"/>
      <c r="D43" s="7"/>
      <c r="E43" s="1"/>
      <c r="F43" s="1"/>
      <c r="G43" s="1"/>
      <c r="N43" s="1"/>
      <c r="P43" s="1"/>
      <c r="Q43" s="1"/>
    </row>
    <row r="44" spans="2:20" x14ac:dyDescent="0.25">
      <c r="B44" s="7"/>
      <c r="C44" s="10"/>
      <c r="D44" s="7"/>
      <c r="E44" s="1"/>
      <c r="F44" s="1"/>
      <c r="G44" s="1"/>
      <c r="N44" s="1"/>
      <c r="P44" s="1"/>
      <c r="Q44" s="1"/>
    </row>
    <row r="45" spans="2:20" x14ac:dyDescent="0.25">
      <c r="B45" s="7"/>
      <c r="C45" s="10"/>
      <c r="D45" s="7"/>
      <c r="E45" s="1"/>
      <c r="F45" s="1"/>
      <c r="G45" s="1"/>
    </row>
    <row r="46" spans="2:20" x14ac:dyDescent="0.25">
      <c r="B46" s="7"/>
      <c r="C46" s="1"/>
      <c r="D46" s="7"/>
      <c r="E46" s="1"/>
      <c r="F46" s="1"/>
      <c r="G46" s="1"/>
    </row>
    <row r="47" spans="2:20" x14ac:dyDescent="0.25">
      <c r="B47" s="5"/>
      <c r="C47" s="7"/>
      <c r="D47" s="7"/>
      <c r="E47" s="1"/>
      <c r="F47" s="1"/>
      <c r="G47" s="1"/>
    </row>
    <row r="48" spans="2:20" x14ac:dyDescent="0.25">
      <c r="B48" s="5"/>
      <c r="C48" s="7"/>
      <c r="D48" s="7"/>
      <c r="E48" s="1"/>
      <c r="F48" s="1"/>
      <c r="G48" s="1"/>
    </row>
    <row r="49" spans="2:17" x14ac:dyDescent="0.25">
      <c r="B49" s="5"/>
      <c r="C49" s="7"/>
      <c r="D49" s="7"/>
      <c r="E49" s="1"/>
      <c r="F49" s="1"/>
      <c r="G49" s="1"/>
      <c r="N49" s="14"/>
      <c r="O49" s="14"/>
      <c r="P49" s="14"/>
      <c r="Q49" s="14"/>
    </row>
    <row r="50" spans="2:17" x14ac:dyDescent="0.25">
      <c r="B50" s="5"/>
      <c r="C50" s="1"/>
      <c r="D50" s="7"/>
      <c r="E50" s="1"/>
      <c r="F50" s="1"/>
      <c r="G50" s="1"/>
      <c r="N50" s="14"/>
      <c r="O50" s="14"/>
      <c r="P50" s="14"/>
      <c r="Q50" s="14"/>
    </row>
    <row r="51" spans="2:17" x14ac:dyDescent="0.25">
      <c r="B51" s="7"/>
      <c r="C51" s="1"/>
      <c r="D51" s="7"/>
      <c r="E51" s="1"/>
      <c r="F51" s="1"/>
      <c r="G51" s="1"/>
      <c r="N51" s="14"/>
      <c r="O51" s="14"/>
      <c r="P51" s="14"/>
      <c r="Q51" s="14"/>
    </row>
    <row r="52" spans="2:17" x14ac:dyDescent="0.25">
      <c r="B52" s="7"/>
      <c r="C52" s="1"/>
      <c r="D52" s="7"/>
      <c r="E52" s="1"/>
      <c r="F52" s="1"/>
      <c r="G52" s="1"/>
      <c r="N52" s="14"/>
      <c r="O52" s="14"/>
      <c r="P52" s="14"/>
      <c r="Q52" s="14"/>
    </row>
    <row r="53" spans="2:17" x14ac:dyDescent="0.25">
      <c r="B53" s="7"/>
      <c r="D53" s="7"/>
      <c r="E53" s="1"/>
      <c r="F53" s="1"/>
      <c r="G53" s="1"/>
      <c r="N53" s="14"/>
      <c r="O53" s="14"/>
      <c r="P53" s="14"/>
      <c r="Q53" s="14"/>
    </row>
    <row r="54" spans="2:17" x14ac:dyDescent="0.25">
      <c r="P54" s="10"/>
      <c r="Q54" s="27"/>
    </row>
    <row r="55" spans="2:17" x14ac:dyDescent="0.25">
      <c r="B55" s="23"/>
      <c r="C55" s="1" t="s">
        <v>82</v>
      </c>
    </row>
    <row r="56" spans="2:17" x14ac:dyDescent="0.25">
      <c r="B56" s="30"/>
      <c r="C56" s="1" t="s">
        <v>83</v>
      </c>
    </row>
    <row r="65" spans="1:23" s="1" customFormat="1" x14ac:dyDescent="0.25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</row>
    <row r="66" spans="1:23" x14ac:dyDescent="0.25">
      <c r="W66" s="1"/>
    </row>
    <row r="67" spans="1:23" x14ac:dyDescent="0.25">
      <c r="A67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0854E-4C4D-467D-BD8A-32231E61C6CE}">
  <dimension ref="B1:AU144"/>
  <sheetViews>
    <sheetView tabSelected="1" topLeftCell="AF17" zoomScale="118" zoomScaleNormal="118" workbookViewId="0">
      <selection activeCell="AU20" sqref="AU20"/>
    </sheetView>
  </sheetViews>
  <sheetFormatPr defaultColWidth="8.81640625" defaultRowHeight="12.5" x14ac:dyDescent="0.25"/>
  <cols>
    <col min="1" max="1" width="3" style="48" customWidth="1"/>
    <col min="2" max="2" width="12.1796875" style="48" bestFit="1" customWidth="1"/>
    <col min="3" max="3" width="25.81640625" style="48" customWidth="1"/>
    <col min="4" max="4" width="13.81640625" style="48" bestFit="1" customWidth="1"/>
    <col min="5" max="5" width="20" style="48" bestFit="1" customWidth="1"/>
    <col min="6" max="6" width="13.1796875" style="48" bestFit="1" customWidth="1"/>
    <col min="7" max="7" width="9.54296875" style="48" bestFit="1" customWidth="1"/>
    <col min="8" max="8" width="7.81640625" style="48" bestFit="1" customWidth="1"/>
    <col min="9" max="9" width="8.1796875" style="48" customWidth="1"/>
    <col min="10" max="10" width="12.81640625" style="48" bestFit="1" customWidth="1"/>
    <col min="11" max="12" width="8.1796875" style="48" customWidth="1"/>
    <col min="13" max="13" width="10.26953125" style="48" bestFit="1" customWidth="1"/>
    <col min="14" max="19" width="8.1796875" style="48" customWidth="1"/>
    <col min="20" max="21" width="8.1796875" style="49" customWidth="1"/>
    <col min="22" max="22" width="12.7265625" style="48" bestFit="1" customWidth="1"/>
    <col min="23" max="23" width="7.1796875" style="48" customWidth="1"/>
    <col min="24" max="24" width="11.453125" style="48" bestFit="1" customWidth="1"/>
    <col min="25" max="25" width="63.81640625" style="48" bestFit="1" customWidth="1"/>
    <col min="26" max="26" width="8.26953125" style="48" bestFit="1" customWidth="1"/>
    <col min="27" max="27" width="11.7265625" style="48" customWidth="1"/>
    <col min="28" max="28" width="13.453125" style="48" customWidth="1"/>
    <col min="29" max="29" width="13.81640625" style="48" customWidth="1"/>
    <col min="30" max="30" width="8.453125" style="48" customWidth="1"/>
    <col min="31" max="35" width="8.81640625" style="48"/>
    <col min="36" max="36" width="12.453125" style="48" bestFit="1" customWidth="1"/>
    <col min="37" max="39" width="8.81640625" style="48"/>
    <col min="40" max="40" width="13.1796875" style="48" bestFit="1" customWidth="1"/>
    <col min="41" max="16384" width="8.81640625" style="48"/>
  </cols>
  <sheetData>
    <row r="1" spans="2:31" ht="14.5" x14ac:dyDescent="0.35">
      <c r="B1" s="47" t="s">
        <v>38</v>
      </c>
      <c r="C1" s="47" t="s">
        <v>39</v>
      </c>
      <c r="D1" s="47" t="s">
        <v>40</v>
      </c>
      <c r="E1" s="47" t="s">
        <v>71</v>
      </c>
      <c r="F1" s="47" t="s">
        <v>41</v>
      </c>
      <c r="G1" s="47"/>
      <c r="H1" s="47" t="s">
        <v>84</v>
      </c>
    </row>
    <row r="2" spans="2:31" ht="31" x14ac:dyDescent="0.35">
      <c r="B2" s="50" t="s">
        <v>98</v>
      </c>
      <c r="C2" s="50" t="s">
        <v>99</v>
      </c>
      <c r="D2" s="51" t="str">
        <f>"Demand Technologies"</f>
        <v>Demand Technologies</v>
      </c>
      <c r="E2" s="50" t="s">
        <v>58</v>
      </c>
      <c r="F2" s="50" t="s">
        <v>182</v>
      </c>
      <c r="G2" s="50"/>
      <c r="H2" s="50" t="s">
        <v>97</v>
      </c>
      <c r="V2" s="52" t="s">
        <v>7</v>
      </c>
      <c r="W2" s="52"/>
      <c r="X2" s="53"/>
      <c r="Y2" s="53"/>
      <c r="Z2" s="53"/>
      <c r="AA2" s="53"/>
      <c r="AB2" s="53"/>
      <c r="AC2" s="53"/>
      <c r="AD2" s="53"/>
    </row>
    <row r="3" spans="2:31" ht="13" x14ac:dyDescent="0.3">
      <c r="V3" s="54" t="s">
        <v>8</v>
      </c>
      <c r="W3" s="55" t="s">
        <v>42</v>
      </c>
      <c r="X3" s="54" t="s">
        <v>6</v>
      </c>
      <c r="Y3" s="54" t="s">
        <v>9</v>
      </c>
      <c r="Z3" s="54" t="s">
        <v>10</v>
      </c>
      <c r="AA3" s="54" t="s">
        <v>11</v>
      </c>
      <c r="AB3" s="54" t="s">
        <v>12</v>
      </c>
      <c r="AC3" s="54" t="s">
        <v>13</v>
      </c>
      <c r="AD3" s="54" t="s">
        <v>14</v>
      </c>
    </row>
    <row r="4" spans="2:31" ht="22" thickBot="1" x14ac:dyDescent="0.4">
      <c r="B4" s="56"/>
      <c r="C4" s="56"/>
      <c r="D4" s="56"/>
      <c r="E4" s="56"/>
      <c r="F4" s="56"/>
      <c r="G4" s="56"/>
      <c r="V4" s="31" t="s">
        <v>43</v>
      </c>
      <c r="W4" s="31" t="s">
        <v>44</v>
      </c>
      <c r="X4" s="31" t="s">
        <v>23</v>
      </c>
      <c r="Y4" s="31" t="s">
        <v>24</v>
      </c>
      <c r="Z4" s="31" t="s">
        <v>10</v>
      </c>
      <c r="AA4" s="31" t="s">
        <v>45</v>
      </c>
      <c r="AB4" s="31" t="s">
        <v>46</v>
      </c>
      <c r="AC4" s="31" t="s">
        <v>25</v>
      </c>
      <c r="AD4" s="31" t="s">
        <v>26</v>
      </c>
    </row>
    <row r="5" spans="2:31" ht="15.5" x14ac:dyDescent="0.35">
      <c r="B5" s="56"/>
      <c r="C5" s="56"/>
      <c r="D5" s="56"/>
      <c r="E5" s="56"/>
      <c r="F5" s="56"/>
      <c r="G5" s="56"/>
      <c r="V5" s="42" t="s">
        <v>59</v>
      </c>
      <c r="W5" s="42"/>
      <c r="X5" s="42" t="s">
        <v>111</v>
      </c>
      <c r="Y5" s="42" t="s">
        <v>114</v>
      </c>
      <c r="Z5" s="42" t="s">
        <v>58</v>
      </c>
      <c r="AA5" s="41"/>
      <c r="AB5" s="68" t="s">
        <v>88</v>
      </c>
      <c r="AC5" s="41"/>
      <c r="AD5" s="41"/>
      <c r="AE5" s="49"/>
    </row>
    <row r="6" spans="2:31" ht="15.5" x14ac:dyDescent="0.35">
      <c r="B6" s="56"/>
      <c r="C6" s="56"/>
      <c r="D6" s="56"/>
      <c r="E6" s="56"/>
      <c r="F6" s="56"/>
      <c r="G6" s="56"/>
      <c r="V6" s="42" t="s">
        <v>59</v>
      </c>
      <c r="W6" s="42"/>
      <c r="X6" s="42" t="s">
        <v>113</v>
      </c>
      <c r="Y6" s="42" t="s">
        <v>115</v>
      </c>
      <c r="Z6" s="42" t="s">
        <v>58</v>
      </c>
      <c r="AA6" s="57"/>
      <c r="AB6" s="68" t="s">
        <v>88</v>
      </c>
      <c r="AC6" s="57"/>
      <c r="AD6" s="57"/>
      <c r="AE6" s="49"/>
    </row>
    <row r="7" spans="2:31" ht="15.5" x14ac:dyDescent="0.35">
      <c r="B7" s="56"/>
      <c r="C7" s="56"/>
      <c r="D7" s="56"/>
      <c r="E7" s="56"/>
      <c r="F7" s="56"/>
      <c r="G7" s="56"/>
      <c r="V7" s="43" t="s">
        <v>59</v>
      </c>
      <c r="W7" s="43"/>
      <c r="X7" s="43" t="s">
        <v>112</v>
      </c>
      <c r="Y7" s="43" t="s">
        <v>116</v>
      </c>
      <c r="Z7" s="43" t="s">
        <v>58</v>
      </c>
      <c r="AA7" s="57"/>
      <c r="AB7" s="68" t="s">
        <v>88</v>
      </c>
      <c r="AC7" s="57"/>
      <c r="AD7" s="57"/>
      <c r="AE7" s="49"/>
    </row>
    <row r="8" spans="2:31" ht="15.5" x14ac:dyDescent="0.35">
      <c r="B8" s="56"/>
      <c r="C8" s="56"/>
      <c r="D8" s="56"/>
      <c r="E8" s="56"/>
      <c r="F8" s="56"/>
      <c r="G8" s="56"/>
      <c r="AE8" s="49"/>
    </row>
    <row r="9" spans="2:31" ht="15.5" x14ac:dyDescent="0.35">
      <c r="B9" s="56"/>
      <c r="C9" s="56"/>
      <c r="D9" s="56"/>
      <c r="E9" s="56"/>
      <c r="F9" s="56"/>
      <c r="G9" s="56"/>
      <c r="AE9" s="49"/>
    </row>
    <row r="10" spans="2:31" ht="15.5" x14ac:dyDescent="0.35">
      <c r="B10" s="56"/>
      <c r="C10" s="56"/>
      <c r="D10" s="56"/>
      <c r="E10" s="56"/>
      <c r="F10" s="56"/>
      <c r="G10" s="56"/>
      <c r="AE10" s="49"/>
    </row>
    <row r="11" spans="2:31" x14ac:dyDescent="0.25">
      <c r="AE11" s="49"/>
    </row>
    <row r="13" spans="2:31" x14ac:dyDescent="0.25">
      <c r="V13" s="53"/>
      <c r="W13" s="53"/>
      <c r="X13" s="53"/>
      <c r="Y13" s="53"/>
      <c r="Z13" s="53"/>
      <c r="AA13" s="53"/>
      <c r="AB13" s="53"/>
      <c r="AC13" s="53"/>
      <c r="AD13" s="53"/>
    </row>
    <row r="14" spans="2:31" x14ac:dyDescent="0.25">
      <c r="V14" s="53"/>
      <c r="W14" s="53"/>
      <c r="X14" s="53"/>
      <c r="Y14" s="53"/>
      <c r="Z14" s="53"/>
      <c r="AA14" s="53"/>
      <c r="AB14" s="53"/>
      <c r="AC14" s="53"/>
      <c r="AD14" s="53"/>
    </row>
    <row r="16" spans="2:31" ht="13" x14ac:dyDescent="0.3">
      <c r="D16" s="58" t="s">
        <v>0</v>
      </c>
      <c r="E16" s="58"/>
      <c r="F16" s="58"/>
      <c r="H16" s="58"/>
      <c r="V16" s="52" t="s">
        <v>17</v>
      </c>
      <c r="W16" s="52"/>
      <c r="X16" s="53"/>
      <c r="Y16" s="53"/>
      <c r="Z16" s="53"/>
      <c r="AA16" s="53"/>
      <c r="AB16" s="53"/>
      <c r="AC16" s="53"/>
      <c r="AD16" s="53"/>
    </row>
    <row r="17" spans="2:47" ht="24" customHeight="1" x14ac:dyDescent="0.3">
      <c r="B17" s="59" t="s">
        <v>1</v>
      </c>
      <c r="C17" s="59" t="s">
        <v>3</v>
      </c>
      <c r="D17" s="59" t="s">
        <v>4</v>
      </c>
      <c r="E17" s="60" t="s">
        <v>191</v>
      </c>
      <c r="F17" s="61" t="s">
        <v>184</v>
      </c>
      <c r="G17" s="60" t="s">
        <v>16</v>
      </c>
      <c r="H17" s="60" t="s">
        <v>34</v>
      </c>
      <c r="I17" s="60" t="s">
        <v>47</v>
      </c>
      <c r="J17" s="60" t="s">
        <v>36</v>
      </c>
      <c r="K17" s="62" t="s">
        <v>5</v>
      </c>
      <c r="L17" s="62" t="s">
        <v>117</v>
      </c>
      <c r="M17" s="60" t="s">
        <v>56</v>
      </c>
      <c r="N17" s="62" t="s">
        <v>122</v>
      </c>
      <c r="O17" s="62" t="s">
        <v>193</v>
      </c>
      <c r="P17" s="62" t="s">
        <v>194</v>
      </c>
      <c r="Q17" s="62" t="s">
        <v>195</v>
      </c>
      <c r="R17" s="62" t="s">
        <v>196</v>
      </c>
      <c r="S17" s="62"/>
      <c r="V17" s="54" t="s">
        <v>15</v>
      </c>
      <c r="W17" s="55" t="s">
        <v>42</v>
      </c>
      <c r="X17" s="54" t="s">
        <v>1</v>
      </c>
      <c r="Y17" s="54" t="s">
        <v>2</v>
      </c>
      <c r="Z17" s="54" t="s">
        <v>18</v>
      </c>
      <c r="AA17" s="54" t="s">
        <v>19</v>
      </c>
      <c r="AB17" s="54" t="s">
        <v>20</v>
      </c>
      <c r="AC17" s="54" t="s">
        <v>21</v>
      </c>
      <c r="AD17" s="54" t="s">
        <v>22</v>
      </c>
      <c r="AI17" s="63" t="s">
        <v>206</v>
      </c>
      <c r="AJ17" s="38"/>
      <c r="AK17" s="63"/>
      <c r="AL17" s="63"/>
      <c r="AM17" s="63"/>
      <c r="AN17" s="38"/>
      <c r="AP17" s="63" t="s">
        <v>206</v>
      </c>
      <c r="AQ17" s="38"/>
      <c r="AR17" s="63"/>
      <c r="AS17" s="63"/>
      <c r="AT17" s="63"/>
    </row>
    <row r="18" spans="2:47" ht="31" thickBot="1" x14ac:dyDescent="0.3">
      <c r="B18" s="32" t="s">
        <v>48</v>
      </c>
      <c r="C18" s="32" t="s">
        <v>32</v>
      </c>
      <c r="D18" s="32" t="s">
        <v>33</v>
      </c>
      <c r="E18" s="32" t="s">
        <v>54</v>
      </c>
      <c r="F18" s="32" t="s">
        <v>85</v>
      </c>
      <c r="G18" s="32" t="s">
        <v>35</v>
      </c>
      <c r="H18" s="33" t="s">
        <v>49</v>
      </c>
      <c r="I18" s="32" t="s">
        <v>57</v>
      </c>
      <c r="J18" s="32" t="s">
        <v>86</v>
      </c>
      <c r="K18" s="33" t="s">
        <v>37</v>
      </c>
      <c r="L18" s="33" t="s">
        <v>118</v>
      </c>
      <c r="M18" s="33" t="s">
        <v>80</v>
      </c>
      <c r="N18" s="33" t="s">
        <v>123</v>
      </c>
      <c r="O18" s="33" t="s">
        <v>192</v>
      </c>
      <c r="P18" s="33" t="s">
        <v>192</v>
      </c>
      <c r="Q18" s="33" t="s">
        <v>192</v>
      </c>
      <c r="R18" s="81" t="s">
        <v>192</v>
      </c>
      <c r="S18" s="81"/>
      <c r="V18" s="31" t="s">
        <v>50</v>
      </c>
      <c r="W18" s="31" t="s">
        <v>44</v>
      </c>
      <c r="X18" s="31" t="s">
        <v>27</v>
      </c>
      <c r="Y18" s="31" t="s">
        <v>28</v>
      </c>
      <c r="Z18" s="31" t="s">
        <v>29</v>
      </c>
      <c r="AA18" s="31" t="s">
        <v>30</v>
      </c>
      <c r="AB18" s="31" t="s">
        <v>51</v>
      </c>
      <c r="AC18" s="31" t="s">
        <v>52</v>
      </c>
      <c r="AD18" s="31" t="s">
        <v>31</v>
      </c>
      <c r="AI18" s="64" t="s">
        <v>130</v>
      </c>
      <c r="AJ18" s="64" t="s">
        <v>207</v>
      </c>
      <c r="AK18" s="64" t="s">
        <v>198</v>
      </c>
      <c r="AL18" s="64" t="s">
        <v>11</v>
      </c>
      <c r="AM18" s="64" t="s">
        <v>208</v>
      </c>
      <c r="AN18" s="64" t="s">
        <v>210</v>
      </c>
      <c r="AP18" s="64" t="s">
        <v>130</v>
      </c>
      <c r="AQ18" s="64" t="s">
        <v>207</v>
      </c>
      <c r="AR18" s="64" t="s">
        <v>198</v>
      </c>
      <c r="AS18" s="64" t="s">
        <v>11</v>
      </c>
      <c r="AT18" s="64" t="s">
        <v>208</v>
      </c>
      <c r="AU18" s="64" t="s">
        <v>210</v>
      </c>
    </row>
    <row r="19" spans="2:47" ht="33.75" customHeight="1" thickBot="1" x14ac:dyDescent="0.3">
      <c r="B19" s="34" t="s">
        <v>53</v>
      </c>
      <c r="C19" s="34"/>
      <c r="D19" s="34"/>
      <c r="E19" s="35"/>
      <c r="F19" s="35"/>
      <c r="G19" s="35"/>
      <c r="H19" s="36"/>
      <c r="I19" s="35" t="s">
        <v>54</v>
      </c>
      <c r="J19" s="35" t="s">
        <v>183</v>
      </c>
      <c r="K19" s="36"/>
      <c r="L19" s="35" t="s">
        <v>181</v>
      </c>
      <c r="M19" s="36"/>
      <c r="N19" s="36" t="s">
        <v>124</v>
      </c>
      <c r="O19" s="36"/>
      <c r="P19" s="36"/>
      <c r="Q19" s="36"/>
      <c r="R19" s="35"/>
      <c r="S19" s="82"/>
      <c r="V19" s="31" t="s">
        <v>81</v>
      </c>
      <c r="W19" s="31"/>
      <c r="X19" s="31"/>
      <c r="Y19" s="31"/>
      <c r="Z19" s="31"/>
      <c r="AA19" s="31"/>
      <c r="AB19" s="31"/>
      <c r="AC19" s="31"/>
      <c r="AD19" s="31"/>
      <c r="AI19" s="44" t="s">
        <v>81</v>
      </c>
      <c r="AJ19" s="44" t="s">
        <v>131</v>
      </c>
      <c r="AK19" s="44"/>
      <c r="AL19" s="44"/>
      <c r="AM19" s="44"/>
      <c r="AN19" s="44"/>
      <c r="AP19" s="44" t="s">
        <v>81</v>
      </c>
      <c r="AQ19" s="44" t="s">
        <v>131</v>
      </c>
      <c r="AR19" s="44"/>
      <c r="AS19" s="44"/>
      <c r="AT19" s="44"/>
      <c r="AU19" s="44"/>
    </row>
    <row r="20" spans="2:47" ht="13.5" thickBot="1" x14ac:dyDescent="0.35">
      <c r="B20" s="48" t="str">
        <f>X20</f>
        <v>Furnace</v>
      </c>
      <c r="C20" s="48" t="s">
        <v>69</v>
      </c>
      <c r="D20" s="53" t="str">
        <f>X5</f>
        <v>ELCHEAT</v>
      </c>
      <c r="E20" s="46">
        <v>2030</v>
      </c>
      <c r="F20" s="74"/>
      <c r="G20" s="70">
        <v>1</v>
      </c>
      <c r="H20" s="70">
        <v>1</v>
      </c>
      <c r="I20" s="46">
        <v>25</v>
      </c>
      <c r="J20" s="70">
        <v>81</v>
      </c>
      <c r="K20" s="70">
        <v>0</v>
      </c>
      <c r="L20" s="70">
        <v>0.24</v>
      </c>
      <c r="M20" s="70">
        <v>8.76</v>
      </c>
      <c r="N20" s="46"/>
      <c r="O20" s="46"/>
      <c r="P20" s="46"/>
      <c r="Q20" s="46"/>
      <c r="R20" s="74"/>
      <c r="S20" s="46"/>
      <c r="V20" s="65" t="s">
        <v>110</v>
      </c>
      <c r="W20" s="65"/>
      <c r="X20" s="66" t="s">
        <v>66</v>
      </c>
      <c r="Y20" s="67" t="s">
        <v>108</v>
      </c>
      <c r="Z20" s="48" t="s">
        <v>58</v>
      </c>
      <c r="AA20" s="48" t="s">
        <v>87</v>
      </c>
      <c r="AB20" s="68" t="s">
        <v>88</v>
      </c>
      <c r="AC20" s="49"/>
      <c r="AD20" s="49"/>
      <c r="AI20" s="45" t="s">
        <v>53</v>
      </c>
      <c r="AJ20" s="45"/>
      <c r="AK20" s="45" t="s">
        <v>209</v>
      </c>
      <c r="AL20" s="45"/>
      <c r="AM20" s="45"/>
      <c r="AN20" s="45"/>
      <c r="AP20" s="45" t="s">
        <v>53</v>
      </c>
      <c r="AQ20" s="45"/>
      <c r="AR20" s="45" t="s">
        <v>209</v>
      </c>
      <c r="AS20" s="45"/>
      <c r="AT20" s="45"/>
      <c r="AU20" s="44"/>
    </row>
    <row r="21" spans="2:47" ht="13" x14ac:dyDescent="0.3">
      <c r="B21" s="48" t="str">
        <f>X$21</f>
        <v>BIOBoiler</v>
      </c>
      <c r="C21" s="48" t="str">
        <f>PRI_Sector_Fuels!P5</f>
        <v>MANBIOMIN</v>
      </c>
      <c r="D21" s="53" t="str">
        <f>X6</f>
        <v>BIOHEAT</v>
      </c>
      <c r="E21" s="46">
        <v>2030</v>
      </c>
      <c r="F21" s="74"/>
      <c r="G21" s="70">
        <v>0.8</v>
      </c>
      <c r="H21" s="70">
        <v>0.98</v>
      </c>
      <c r="I21" s="46">
        <v>25</v>
      </c>
      <c r="J21" s="70">
        <v>797.9</v>
      </c>
      <c r="K21" s="70">
        <v>48.48</v>
      </c>
      <c r="L21" s="70">
        <v>3.75</v>
      </c>
      <c r="M21" s="70">
        <v>8.76</v>
      </c>
      <c r="N21" s="46"/>
      <c r="O21" s="46"/>
      <c r="P21" s="46"/>
      <c r="Q21" s="46"/>
      <c r="R21" s="46"/>
      <c r="S21" s="46"/>
      <c r="V21" s="65" t="s">
        <v>110</v>
      </c>
      <c r="W21" s="65"/>
      <c r="X21" s="66" t="s">
        <v>101</v>
      </c>
      <c r="Y21" s="67" t="s">
        <v>100</v>
      </c>
      <c r="Z21" s="48" t="s">
        <v>58</v>
      </c>
      <c r="AA21" s="48" t="s">
        <v>87</v>
      </c>
      <c r="AB21" s="68" t="s">
        <v>88</v>
      </c>
      <c r="AC21" s="49"/>
      <c r="AD21" s="49"/>
      <c r="AI21" s="38" t="s">
        <v>180</v>
      </c>
      <c r="AJ21" s="39" t="s">
        <v>93</v>
      </c>
      <c r="AK21" s="48" t="s">
        <v>132</v>
      </c>
      <c r="AL21" s="48" t="s">
        <v>197</v>
      </c>
      <c r="AM21" s="48" t="s">
        <v>69</v>
      </c>
      <c r="AN21" s="48">
        <v>3.3051976250754521E-3</v>
      </c>
      <c r="AP21" s="38" t="s">
        <v>180</v>
      </c>
      <c r="AQ21" s="39" t="s">
        <v>94</v>
      </c>
      <c r="AR21" s="48" t="s">
        <v>132</v>
      </c>
      <c r="AS21" s="48" t="s">
        <v>197</v>
      </c>
      <c r="AT21" s="48" t="s">
        <v>69</v>
      </c>
      <c r="AU21" s="48">
        <v>0</v>
      </c>
    </row>
    <row r="22" spans="2:47" ht="13" x14ac:dyDescent="0.3">
      <c r="B22" s="48" t="str">
        <f>X24</f>
        <v>ELCBoiler</v>
      </c>
      <c r="C22" s="48" t="s">
        <v>69</v>
      </c>
      <c r="D22" s="53" t="str">
        <f>X5</f>
        <v>ELCHEAT</v>
      </c>
      <c r="E22" s="46">
        <v>2030</v>
      </c>
      <c r="F22" s="74"/>
      <c r="G22" s="70">
        <v>0.8</v>
      </c>
      <c r="H22" s="70">
        <v>1</v>
      </c>
      <c r="I22" s="46">
        <v>25</v>
      </c>
      <c r="J22" s="70">
        <v>112.9</v>
      </c>
      <c r="K22" s="70">
        <v>14.26</v>
      </c>
      <c r="L22" s="70">
        <v>1.22</v>
      </c>
      <c r="M22" s="70">
        <v>8.76</v>
      </c>
      <c r="N22" s="46"/>
      <c r="O22" s="46"/>
      <c r="P22" s="46"/>
      <c r="Q22" s="46"/>
      <c r="R22" s="46"/>
      <c r="S22" s="46"/>
      <c r="V22" s="65" t="s">
        <v>110</v>
      </c>
      <c r="W22" s="65"/>
      <c r="X22" s="66" t="s">
        <v>102</v>
      </c>
      <c r="Y22" s="67" t="s">
        <v>107</v>
      </c>
      <c r="Z22" s="48" t="s">
        <v>58</v>
      </c>
      <c r="AA22" s="48" t="s">
        <v>87</v>
      </c>
      <c r="AB22" s="68" t="s">
        <v>88</v>
      </c>
      <c r="AC22" s="49"/>
      <c r="AD22" s="49"/>
      <c r="AI22" s="38" t="s">
        <v>180</v>
      </c>
      <c r="AJ22" s="39" t="s">
        <v>93</v>
      </c>
      <c r="AK22" s="69" t="s">
        <v>133</v>
      </c>
      <c r="AL22" s="48" t="s">
        <v>197</v>
      </c>
      <c r="AM22" s="48" t="s">
        <v>69</v>
      </c>
      <c r="AN22" s="48">
        <v>3.1618331753269246E-3</v>
      </c>
      <c r="AP22" s="38" t="s">
        <v>180</v>
      </c>
      <c r="AQ22" s="39" t="s">
        <v>94</v>
      </c>
      <c r="AR22" s="69" t="s">
        <v>133</v>
      </c>
      <c r="AS22" s="48" t="s">
        <v>197</v>
      </c>
      <c r="AT22" s="48" t="s">
        <v>69</v>
      </c>
      <c r="AU22" s="48">
        <v>0</v>
      </c>
    </row>
    <row r="23" spans="2:47" s="49" customFormat="1" ht="13" x14ac:dyDescent="0.3">
      <c r="B23" s="48" t="str">
        <f>X22</f>
        <v>BIOKiln</v>
      </c>
      <c r="C23" s="48" t="str">
        <f>PRI_Sector_Fuels!P5</f>
        <v>MANBIOMIN</v>
      </c>
      <c r="D23" s="53" t="s">
        <v>129</v>
      </c>
      <c r="E23" s="46">
        <v>2030</v>
      </c>
      <c r="F23" s="74"/>
      <c r="G23" s="70">
        <v>0.55000000000000004</v>
      </c>
      <c r="H23" s="70">
        <v>0.98</v>
      </c>
      <c r="I23" s="46">
        <v>25</v>
      </c>
      <c r="J23" s="70">
        <v>297.10000000000002</v>
      </c>
      <c r="K23" s="70">
        <v>4.46</v>
      </c>
      <c r="L23" s="70">
        <v>0.45</v>
      </c>
      <c r="M23" s="70">
        <v>8.76</v>
      </c>
      <c r="N23" s="46"/>
      <c r="O23" s="46"/>
      <c r="P23" s="46"/>
      <c r="Q23" s="46"/>
      <c r="R23" s="46"/>
      <c r="S23" s="46"/>
      <c r="V23" s="65" t="s">
        <v>110</v>
      </c>
      <c r="W23" s="65"/>
      <c r="X23" s="66" t="s">
        <v>103</v>
      </c>
      <c r="Y23" s="67" t="s">
        <v>104</v>
      </c>
      <c r="Z23" s="48" t="s">
        <v>58</v>
      </c>
      <c r="AA23" s="48" t="s">
        <v>87</v>
      </c>
      <c r="AB23" s="68" t="s">
        <v>88</v>
      </c>
      <c r="AI23" s="38" t="s">
        <v>180</v>
      </c>
      <c r="AJ23" s="39" t="s">
        <v>93</v>
      </c>
      <c r="AK23" s="48" t="s">
        <v>134</v>
      </c>
      <c r="AL23" s="48" t="s">
        <v>197</v>
      </c>
      <c r="AM23" s="48" t="s">
        <v>69</v>
      </c>
      <c r="AN23" s="48">
        <v>2.8979409360310663E-3</v>
      </c>
      <c r="AP23" s="38" t="s">
        <v>180</v>
      </c>
      <c r="AQ23" s="39" t="s">
        <v>94</v>
      </c>
      <c r="AR23" s="48" t="s">
        <v>134</v>
      </c>
      <c r="AS23" s="48" t="s">
        <v>197</v>
      </c>
      <c r="AT23" s="48" t="s">
        <v>69</v>
      </c>
      <c r="AU23" s="49">
        <v>0</v>
      </c>
    </row>
    <row r="24" spans="2:47" s="49" customFormat="1" ht="13" x14ac:dyDescent="0.3">
      <c r="B24" s="53" t="str">
        <f>X23</f>
        <v>GASBoiler</v>
      </c>
      <c r="C24" s="48" t="str">
        <f>PRI_Sector_Fuels!P6</f>
        <v>MANGASMIN</v>
      </c>
      <c r="D24" s="53" t="s">
        <v>128</v>
      </c>
      <c r="E24" s="46">
        <v>2030</v>
      </c>
      <c r="F24" s="74"/>
      <c r="G24" s="70">
        <v>1</v>
      </c>
      <c r="H24" s="70">
        <v>0.99</v>
      </c>
      <c r="I24" s="46">
        <v>25</v>
      </c>
      <c r="J24" s="70">
        <v>61.4</v>
      </c>
      <c r="K24" s="70">
        <v>2.57</v>
      </c>
      <c r="L24" s="70">
        <v>1.35</v>
      </c>
      <c r="M24" s="70">
        <v>8.76</v>
      </c>
      <c r="N24" s="46"/>
      <c r="O24" s="46"/>
      <c r="P24" s="46"/>
      <c r="Q24" s="46"/>
      <c r="R24" s="46"/>
      <c r="S24" s="46"/>
      <c r="V24" s="65" t="s">
        <v>110</v>
      </c>
      <c r="W24" s="65"/>
      <c r="X24" s="66" t="s">
        <v>105</v>
      </c>
      <c r="Y24" s="67" t="s">
        <v>106</v>
      </c>
      <c r="Z24" s="48" t="s">
        <v>58</v>
      </c>
      <c r="AA24" s="48" t="s">
        <v>87</v>
      </c>
      <c r="AB24" s="68" t="s">
        <v>88</v>
      </c>
      <c r="AI24" s="38" t="s">
        <v>180</v>
      </c>
      <c r="AJ24" s="39" t="s">
        <v>93</v>
      </c>
      <c r="AK24" s="69" t="s">
        <v>135</v>
      </c>
      <c r="AL24" s="48" t="s">
        <v>197</v>
      </c>
      <c r="AM24" s="48" t="s">
        <v>69</v>
      </c>
      <c r="AN24" s="48">
        <v>2.7156926103261707E-3</v>
      </c>
      <c r="AP24" s="38" t="s">
        <v>180</v>
      </c>
      <c r="AQ24" s="39" t="s">
        <v>94</v>
      </c>
      <c r="AR24" s="69" t="s">
        <v>135</v>
      </c>
      <c r="AS24" s="48" t="s">
        <v>197</v>
      </c>
      <c r="AT24" s="48" t="s">
        <v>69</v>
      </c>
      <c r="AU24" s="49">
        <v>0</v>
      </c>
    </row>
    <row r="25" spans="2:47" s="49" customFormat="1" x14ac:dyDescent="0.25">
      <c r="B25" s="53" t="str">
        <f>X26</f>
        <v>WNDTRBN</v>
      </c>
      <c r="C25" s="48" t="str">
        <f>PRI_Sector_Fuels!D28</f>
        <v>WIND</v>
      </c>
      <c r="D25" s="53" t="s">
        <v>69</v>
      </c>
      <c r="E25" s="46">
        <v>2030</v>
      </c>
      <c r="F25" s="74">
        <v>0.2</v>
      </c>
      <c r="G25" s="70"/>
      <c r="H25" s="70">
        <v>0.97</v>
      </c>
      <c r="I25" s="46">
        <v>25</v>
      </c>
      <c r="J25" s="70">
        <v>1041</v>
      </c>
      <c r="K25" s="70">
        <v>38</v>
      </c>
      <c r="L25" s="70"/>
      <c r="M25" s="70">
        <v>8.76</v>
      </c>
      <c r="N25" s="74"/>
      <c r="O25" s="70">
        <v>0.23</v>
      </c>
      <c r="P25" s="70">
        <v>0.28000000000000003</v>
      </c>
      <c r="Q25" s="70">
        <v>0.38</v>
      </c>
      <c r="R25" s="74">
        <v>0.5</v>
      </c>
      <c r="S25" s="46"/>
      <c r="V25" s="65" t="s">
        <v>110</v>
      </c>
      <c r="W25" s="65"/>
      <c r="X25" s="66" t="s">
        <v>65</v>
      </c>
      <c r="Y25" s="67" t="s">
        <v>109</v>
      </c>
      <c r="Z25" s="48" t="s">
        <v>58</v>
      </c>
      <c r="AA25" s="48" t="s">
        <v>87</v>
      </c>
      <c r="AB25" s="49" t="s">
        <v>88</v>
      </c>
      <c r="AI25" s="38" t="s">
        <v>180</v>
      </c>
      <c r="AJ25" s="39" t="s">
        <v>93</v>
      </c>
      <c r="AK25" s="48" t="s">
        <v>136</v>
      </c>
      <c r="AL25" s="48" t="s">
        <v>197</v>
      </c>
      <c r="AM25" s="48" t="s">
        <v>69</v>
      </c>
      <c r="AN25" s="48">
        <v>2.5452192095824343E-3</v>
      </c>
      <c r="AP25" s="38" t="s">
        <v>180</v>
      </c>
      <c r="AQ25" s="39" t="s">
        <v>94</v>
      </c>
      <c r="AR25" s="48" t="s">
        <v>136</v>
      </c>
      <c r="AS25" s="48" t="s">
        <v>197</v>
      </c>
      <c r="AT25" s="48" t="s">
        <v>69</v>
      </c>
      <c r="AU25" s="49">
        <v>0</v>
      </c>
    </row>
    <row r="26" spans="2:47" s="49" customFormat="1" x14ac:dyDescent="0.25">
      <c r="B26" s="53" t="str">
        <f>X27</f>
        <v>SOLPV</v>
      </c>
      <c r="C26" s="48" t="str">
        <f>PRI_Sector_Fuels!D29</f>
        <v>SOLAR</v>
      </c>
      <c r="D26" s="53" t="s">
        <v>69</v>
      </c>
      <c r="E26" s="46">
        <v>2030</v>
      </c>
      <c r="F26" s="74">
        <v>0.2</v>
      </c>
      <c r="G26" s="70"/>
      <c r="H26" s="70">
        <v>0.99</v>
      </c>
      <c r="I26" s="46">
        <v>25</v>
      </c>
      <c r="J26" s="70">
        <v>691</v>
      </c>
      <c r="K26" s="70">
        <v>6.99</v>
      </c>
      <c r="L26" s="70"/>
      <c r="M26" s="70">
        <v>8.76</v>
      </c>
      <c r="N26" s="74"/>
      <c r="O26" s="70">
        <v>0.23</v>
      </c>
      <c r="P26" s="70">
        <v>0.28000000000000003</v>
      </c>
      <c r="Q26" s="70">
        <v>0.38</v>
      </c>
      <c r="R26" s="74">
        <v>0.5</v>
      </c>
      <c r="S26" s="46"/>
      <c r="V26" s="65" t="s">
        <v>69</v>
      </c>
      <c r="W26" s="65"/>
      <c r="X26" s="66" t="s">
        <v>93</v>
      </c>
      <c r="Y26" s="67" t="s">
        <v>96</v>
      </c>
      <c r="Z26" s="48" t="s">
        <v>58</v>
      </c>
      <c r="AA26" s="48" t="s">
        <v>87</v>
      </c>
      <c r="AB26" s="49" t="s">
        <v>88</v>
      </c>
      <c r="AI26" s="38" t="s">
        <v>180</v>
      </c>
      <c r="AJ26" s="39" t="s">
        <v>93</v>
      </c>
      <c r="AK26" s="69" t="s">
        <v>137</v>
      </c>
      <c r="AL26" s="48" t="s">
        <v>197</v>
      </c>
      <c r="AM26" s="48" t="s">
        <v>69</v>
      </c>
      <c r="AN26" s="48">
        <v>2.5834450529081338E-3</v>
      </c>
      <c r="AP26" s="38" t="s">
        <v>180</v>
      </c>
      <c r="AQ26" s="39" t="s">
        <v>94</v>
      </c>
      <c r="AR26" s="69" t="s">
        <v>137</v>
      </c>
      <c r="AS26" s="48" t="s">
        <v>197</v>
      </c>
      <c r="AT26" s="48" t="s">
        <v>69</v>
      </c>
      <c r="AU26" s="49">
        <v>0</v>
      </c>
    </row>
    <row r="27" spans="2:47" s="49" customFormat="1" x14ac:dyDescent="0.25">
      <c r="B27" s="53" t="str">
        <f>X25</f>
        <v>CSP</v>
      </c>
      <c r="C27" s="48" t="str">
        <f>PRI_Sector_Fuels!D29</f>
        <v>SOLAR</v>
      </c>
      <c r="D27" s="53" t="str">
        <f>X7</f>
        <v>SOLHEAT</v>
      </c>
      <c r="E27" s="46">
        <v>2030</v>
      </c>
      <c r="F27" s="74">
        <v>0.2</v>
      </c>
      <c r="G27" s="70"/>
      <c r="H27" s="70">
        <v>1</v>
      </c>
      <c r="I27" s="46">
        <v>25</v>
      </c>
      <c r="J27" s="70">
        <v>3677</v>
      </c>
      <c r="K27" s="70"/>
      <c r="L27" s="70">
        <v>14</v>
      </c>
      <c r="M27" s="70">
        <v>8.76</v>
      </c>
      <c r="N27" s="74"/>
      <c r="O27" s="70">
        <v>0.23</v>
      </c>
      <c r="P27" s="70">
        <v>0.28000000000000003</v>
      </c>
      <c r="Q27" s="70">
        <v>0.38</v>
      </c>
      <c r="R27" s="74">
        <v>0.5</v>
      </c>
      <c r="S27" s="46"/>
      <c r="V27" s="65" t="s">
        <v>69</v>
      </c>
      <c r="W27" s="65"/>
      <c r="X27" s="66" t="s">
        <v>94</v>
      </c>
      <c r="Y27" s="67" t="s">
        <v>95</v>
      </c>
      <c r="Z27" s="48" t="s">
        <v>58</v>
      </c>
      <c r="AA27" s="48" t="s">
        <v>87</v>
      </c>
      <c r="AB27" s="49" t="s">
        <v>88</v>
      </c>
      <c r="AI27" s="38" t="s">
        <v>180</v>
      </c>
      <c r="AJ27" s="39" t="s">
        <v>93</v>
      </c>
      <c r="AK27" s="48" t="s">
        <v>138</v>
      </c>
      <c r="AL27" s="48" t="s">
        <v>197</v>
      </c>
      <c r="AM27" s="48" t="s">
        <v>69</v>
      </c>
      <c r="AN27" s="48">
        <v>2.7432881310744317E-3</v>
      </c>
      <c r="AP27" s="38" t="s">
        <v>180</v>
      </c>
      <c r="AQ27" s="39" t="s">
        <v>94</v>
      </c>
      <c r="AR27" s="48" t="s">
        <v>138</v>
      </c>
      <c r="AS27" s="48" t="s">
        <v>197</v>
      </c>
      <c r="AT27" s="48" t="s">
        <v>69</v>
      </c>
      <c r="AU27" s="49">
        <v>6.9165519713261618E-3</v>
      </c>
    </row>
    <row r="28" spans="2:47" s="49" customFormat="1" x14ac:dyDescent="0.25">
      <c r="B28" s="48" t="str">
        <f>X28</f>
        <v>RNWHEAT</v>
      </c>
      <c r="C28" s="53" t="str">
        <f>X5</f>
        <v>ELCHEAT</v>
      </c>
      <c r="D28" s="53" t="s">
        <v>128</v>
      </c>
      <c r="E28" s="46">
        <v>2030</v>
      </c>
      <c r="F28" s="74">
        <v>0.2</v>
      </c>
      <c r="G28" s="70">
        <v>1</v>
      </c>
      <c r="H28" s="70">
        <v>1</v>
      </c>
      <c r="I28" s="46"/>
      <c r="J28" s="70">
        <v>0</v>
      </c>
      <c r="K28" s="70"/>
      <c r="L28" s="70"/>
      <c r="M28" s="70">
        <v>8.76</v>
      </c>
      <c r="N28" s="74"/>
      <c r="O28" s="70">
        <v>0.23</v>
      </c>
      <c r="P28" s="70">
        <v>0.28000000000000003</v>
      </c>
      <c r="Q28" s="70">
        <v>0.38</v>
      </c>
      <c r="R28" s="74">
        <v>0.5</v>
      </c>
      <c r="S28" s="46"/>
      <c r="V28" s="48" t="s">
        <v>110</v>
      </c>
      <c r="W28" s="48"/>
      <c r="X28" s="48" t="s">
        <v>126</v>
      </c>
      <c r="Y28" s="48" t="s">
        <v>127</v>
      </c>
      <c r="Z28" s="48" t="s">
        <v>58</v>
      </c>
      <c r="AA28" s="48" t="s">
        <v>87</v>
      </c>
      <c r="AB28" s="49" t="s">
        <v>88</v>
      </c>
      <c r="AC28" s="48"/>
      <c r="AD28" s="48"/>
      <c r="AI28" s="38" t="s">
        <v>180</v>
      </c>
      <c r="AJ28" s="39" t="s">
        <v>93</v>
      </c>
      <c r="AK28" s="69" t="s">
        <v>139</v>
      </c>
      <c r="AL28" s="48" t="s">
        <v>197</v>
      </c>
      <c r="AM28" s="48" t="s">
        <v>69</v>
      </c>
      <c r="AN28" s="48">
        <v>2.8314721319216154E-3</v>
      </c>
      <c r="AP28" s="38" t="s">
        <v>180</v>
      </c>
      <c r="AQ28" s="39" t="s">
        <v>94</v>
      </c>
      <c r="AR28" s="69" t="s">
        <v>139</v>
      </c>
      <c r="AS28" s="48" t="s">
        <v>197</v>
      </c>
      <c r="AT28" s="48" t="s">
        <v>69</v>
      </c>
      <c r="AU28" s="49">
        <v>4.9742853046594968E-2</v>
      </c>
    </row>
    <row r="29" spans="2:47" s="49" customFormat="1" x14ac:dyDescent="0.25">
      <c r="B29" s="48" t="str">
        <f>X28</f>
        <v>RNWHEAT</v>
      </c>
      <c r="C29" s="53" t="str">
        <f>X6</f>
        <v>BIOHEAT</v>
      </c>
      <c r="D29" s="53" t="s">
        <v>128</v>
      </c>
      <c r="E29" s="46">
        <v>2030</v>
      </c>
      <c r="F29" s="74">
        <v>0.1</v>
      </c>
      <c r="G29" s="70">
        <v>1</v>
      </c>
      <c r="H29" s="70">
        <v>1</v>
      </c>
      <c r="I29" s="46"/>
      <c r="J29" s="70">
        <v>0</v>
      </c>
      <c r="K29" s="70"/>
      <c r="L29" s="70"/>
      <c r="M29" s="70">
        <v>8.76</v>
      </c>
      <c r="N29" s="74"/>
      <c r="O29" s="70">
        <v>0.14000000000000001</v>
      </c>
      <c r="P29" s="70">
        <v>0.22</v>
      </c>
      <c r="Q29" s="70">
        <v>0.34</v>
      </c>
      <c r="R29" s="74">
        <v>0.5</v>
      </c>
      <c r="S29" s="46"/>
      <c r="AI29" s="38" t="s">
        <v>180</v>
      </c>
      <c r="AJ29" s="39" t="s">
        <v>93</v>
      </c>
      <c r="AK29" s="48" t="s">
        <v>140</v>
      </c>
      <c r="AL29" s="48" t="s">
        <v>197</v>
      </c>
      <c r="AM29" s="48" t="s">
        <v>69</v>
      </c>
      <c r="AN29" s="48">
        <v>2.8141143326017269E-3</v>
      </c>
      <c r="AP29" s="38" t="s">
        <v>180</v>
      </c>
      <c r="AQ29" s="39" t="s">
        <v>94</v>
      </c>
      <c r="AR29" s="48" t="s">
        <v>140</v>
      </c>
      <c r="AS29" s="48" t="s">
        <v>197</v>
      </c>
      <c r="AT29" s="48" t="s">
        <v>69</v>
      </c>
      <c r="AU29" s="49">
        <v>0.12554577777777776</v>
      </c>
    </row>
    <row r="30" spans="2:47" s="49" customFormat="1" x14ac:dyDescent="0.25">
      <c r="B30" s="48" t="str">
        <f>X28</f>
        <v>RNWHEAT</v>
      </c>
      <c r="C30" s="53" t="str">
        <f>X7</f>
        <v>SOLHEAT</v>
      </c>
      <c r="D30" s="53" t="s">
        <v>128</v>
      </c>
      <c r="E30" s="46">
        <v>2030</v>
      </c>
      <c r="F30" s="74">
        <v>0.2</v>
      </c>
      <c r="G30" s="70">
        <v>1</v>
      </c>
      <c r="H30" s="70">
        <v>1</v>
      </c>
      <c r="I30" s="46"/>
      <c r="J30" s="70">
        <v>0</v>
      </c>
      <c r="K30" s="70"/>
      <c r="L30" s="70"/>
      <c r="M30" s="70">
        <v>8.76</v>
      </c>
      <c r="N30" s="74"/>
      <c r="O30" s="70">
        <v>0.23</v>
      </c>
      <c r="P30" s="70">
        <v>0.28000000000000003</v>
      </c>
      <c r="Q30" s="70">
        <v>0.38</v>
      </c>
      <c r="R30" s="74">
        <v>0.5</v>
      </c>
      <c r="S30" s="46"/>
      <c r="V30" s="48"/>
      <c r="W30" s="48"/>
      <c r="X30" s="48"/>
      <c r="Y30" s="48"/>
      <c r="Z30" s="48"/>
      <c r="AA30" s="48"/>
      <c r="AB30" s="48"/>
      <c r="AC30" s="48"/>
      <c r="AD30" s="48"/>
      <c r="AI30" s="38" t="s">
        <v>180</v>
      </c>
      <c r="AJ30" s="39" t="s">
        <v>93</v>
      </c>
      <c r="AK30" s="69" t="s">
        <v>141</v>
      </c>
      <c r="AL30" s="48" t="s">
        <v>197</v>
      </c>
      <c r="AM30" s="48" t="s">
        <v>69</v>
      </c>
      <c r="AN30" s="48">
        <v>2.6656478128544076E-3</v>
      </c>
      <c r="AP30" s="38" t="s">
        <v>180</v>
      </c>
      <c r="AQ30" s="39" t="s">
        <v>94</v>
      </c>
      <c r="AR30" s="69" t="s">
        <v>141</v>
      </c>
      <c r="AS30" s="48" t="s">
        <v>197</v>
      </c>
      <c r="AT30" s="48" t="s">
        <v>69</v>
      </c>
      <c r="AU30" s="49">
        <v>0.2058007025089606</v>
      </c>
    </row>
    <row r="31" spans="2:47" s="49" customFormat="1" x14ac:dyDescent="0.25">
      <c r="B31" s="53" t="str">
        <f>X23</f>
        <v>GASBoiler</v>
      </c>
      <c r="C31" s="53"/>
      <c r="D31" s="53" t="s">
        <v>125</v>
      </c>
      <c r="E31" s="46">
        <v>2030</v>
      </c>
      <c r="F31" s="74"/>
      <c r="G31" s="70"/>
      <c r="H31" s="70">
        <v>1</v>
      </c>
      <c r="I31" s="46"/>
      <c r="J31" s="70">
        <v>0</v>
      </c>
      <c r="K31" s="70"/>
      <c r="L31" s="70"/>
      <c r="M31" s="70">
        <v>8.76</v>
      </c>
      <c r="N31" s="46"/>
      <c r="O31" s="46"/>
      <c r="P31" s="46"/>
      <c r="Q31" s="46"/>
      <c r="R31" s="46"/>
      <c r="S31" s="46"/>
      <c r="V31" s="48"/>
      <c r="W31" s="48"/>
      <c r="X31" s="48"/>
      <c r="Y31" s="48"/>
      <c r="Z31" s="48"/>
      <c r="AA31" s="48"/>
      <c r="AB31" s="48"/>
      <c r="AC31" s="48"/>
      <c r="AD31" s="48"/>
      <c r="AI31" s="38" t="s">
        <v>180</v>
      </c>
      <c r="AJ31" s="39" t="s">
        <v>93</v>
      </c>
      <c r="AK31" s="48" t="s">
        <v>142</v>
      </c>
      <c r="AL31" s="48" t="s">
        <v>197</v>
      </c>
      <c r="AM31" s="48" t="s">
        <v>69</v>
      </c>
      <c r="AN31" s="48">
        <v>2.4530677112863486E-3</v>
      </c>
      <c r="AP31" s="38" t="s">
        <v>180</v>
      </c>
      <c r="AQ31" s="39" t="s">
        <v>94</v>
      </c>
      <c r="AR31" s="48" t="s">
        <v>142</v>
      </c>
      <c r="AS31" s="48" t="s">
        <v>197</v>
      </c>
      <c r="AT31" s="48" t="s">
        <v>69</v>
      </c>
      <c r="AU31" s="49">
        <v>0.27468446594982077</v>
      </c>
    </row>
    <row r="32" spans="2:47" s="49" customFormat="1" x14ac:dyDescent="0.25">
      <c r="B32" s="53"/>
      <c r="C32" s="53"/>
      <c r="D32" s="53"/>
      <c r="E32" s="70"/>
      <c r="F32" s="71"/>
      <c r="K32" s="48"/>
      <c r="V32" s="48"/>
      <c r="W32" s="48"/>
      <c r="X32" s="48"/>
      <c r="Y32" s="48"/>
      <c r="Z32" s="48"/>
      <c r="AA32" s="48"/>
      <c r="AB32" s="48"/>
      <c r="AC32" s="48"/>
      <c r="AD32" s="48"/>
      <c r="AI32" s="38" t="s">
        <v>180</v>
      </c>
      <c r="AJ32" s="39" t="s">
        <v>93</v>
      </c>
      <c r="AK32" s="69" t="s">
        <v>143</v>
      </c>
      <c r="AL32" s="48" t="s">
        <v>197</v>
      </c>
      <c r="AM32" s="48" t="s">
        <v>69</v>
      </c>
      <c r="AN32" s="48">
        <v>2.1363241345921055E-3</v>
      </c>
      <c r="AP32" s="38" t="s">
        <v>180</v>
      </c>
      <c r="AQ32" s="39" t="s">
        <v>94</v>
      </c>
      <c r="AR32" s="69" t="s">
        <v>143</v>
      </c>
      <c r="AS32" s="48" t="s">
        <v>197</v>
      </c>
      <c r="AT32" s="48" t="s">
        <v>69</v>
      </c>
      <c r="AU32" s="49">
        <v>0.32637437275985665</v>
      </c>
    </row>
    <row r="33" spans="2:47" s="49" customFormat="1" x14ac:dyDescent="0.25">
      <c r="B33" s="53"/>
      <c r="C33" s="53"/>
      <c r="D33" s="53"/>
      <c r="E33" s="70"/>
      <c r="F33" s="71"/>
      <c r="K33" s="48"/>
      <c r="V33" s="48"/>
      <c r="W33" s="48"/>
      <c r="X33" s="48"/>
      <c r="Y33" s="48"/>
      <c r="Z33" s="48"/>
      <c r="AA33" s="48"/>
      <c r="AB33" s="48"/>
      <c r="AC33" s="48"/>
      <c r="AD33" s="48"/>
      <c r="AI33" s="38" t="s">
        <v>180</v>
      </c>
      <c r="AJ33" s="39" t="s">
        <v>93</v>
      </c>
      <c r="AK33" s="48" t="s">
        <v>144</v>
      </c>
      <c r="AL33" s="48" t="s">
        <v>197</v>
      </c>
      <c r="AM33" s="48" t="s">
        <v>69</v>
      </c>
      <c r="AN33" s="48">
        <v>1.8660639529435976E-3</v>
      </c>
      <c r="AP33" s="38" t="s">
        <v>180</v>
      </c>
      <c r="AQ33" s="39" t="s">
        <v>94</v>
      </c>
      <c r="AR33" s="48" t="s">
        <v>144</v>
      </c>
      <c r="AS33" s="48" t="s">
        <v>197</v>
      </c>
      <c r="AT33" s="48" t="s">
        <v>69</v>
      </c>
      <c r="AU33" s="49">
        <v>0.35267560573476697</v>
      </c>
    </row>
    <row r="34" spans="2:47" s="49" customFormat="1" x14ac:dyDescent="0.25">
      <c r="B34" s="48"/>
      <c r="C34" s="53"/>
      <c r="D34" s="53"/>
      <c r="E34" s="70"/>
      <c r="F34" s="71"/>
      <c r="K34" s="48"/>
      <c r="V34" s="48"/>
      <c r="W34" s="48"/>
      <c r="X34" s="48"/>
      <c r="Y34" s="48"/>
      <c r="Z34" s="48"/>
      <c r="AA34" s="48"/>
      <c r="AB34" s="48"/>
      <c r="AC34" s="48"/>
      <c r="AD34" s="48"/>
      <c r="AI34" s="38" t="s">
        <v>180</v>
      </c>
      <c r="AJ34" s="39" t="s">
        <v>93</v>
      </c>
      <c r="AK34" s="69" t="s">
        <v>145</v>
      </c>
      <c r="AL34" s="48" t="s">
        <v>197</v>
      </c>
      <c r="AM34" s="48" t="s">
        <v>69</v>
      </c>
      <c r="AN34" s="48">
        <v>1.7487528282965712E-3</v>
      </c>
      <c r="AP34" s="38" t="s">
        <v>180</v>
      </c>
      <c r="AQ34" s="39" t="s">
        <v>94</v>
      </c>
      <c r="AR34" s="69" t="s">
        <v>145</v>
      </c>
      <c r="AS34" s="48" t="s">
        <v>197</v>
      </c>
      <c r="AT34" s="48" t="s">
        <v>69</v>
      </c>
      <c r="AU34" s="49">
        <v>0.34322033691756271</v>
      </c>
    </row>
    <row r="35" spans="2:47" s="49" customFormat="1" x14ac:dyDescent="0.25">
      <c r="B35" s="53"/>
      <c r="C35" s="53"/>
      <c r="D35" s="53"/>
      <c r="E35" s="70"/>
      <c r="F35" s="71"/>
      <c r="J35" s="72"/>
      <c r="K35" s="48"/>
      <c r="V35" s="38"/>
      <c r="W35" s="38"/>
      <c r="X35" s="39"/>
      <c r="Y35" s="40"/>
      <c r="Z35" s="38"/>
      <c r="AA35" s="38"/>
      <c r="AB35" s="38"/>
      <c r="AC35" s="48"/>
      <c r="AD35" s="48"/>
      <c r="AI35" s="38" t="s">
        <v>180</v>
      </c>
      <c r="AJ35" s="39" t="s">
        <v>93</v>
      </c>
      <c r="AK35" s="48" t="s">
        <v>146</v>
      </c>
      <c r="AL35" s="48" t="s">
        <v>197</v>
      </c>
      <c r="AM35" s="48" t="s">
        <v>69</v>
      </c>
      <c r="AN35" s="48">
        <v>1.6637860863902745E-3</v>
      </c>
      <c r="AP35" s="38" t="s">
        <v>180</v>
      </c>
      <c r="AQ35" s="39" t="s">
        <v>94</v>
      </c>
      <c r="AR35" s="48" t="s">
        <v>146</v>
      </c>
      <c r="AS35" s="48" t="s">
        <v>197</v>
      </c>
      <c r="AT35" s="48" t="s">
        <v>69</v>
      </c>
      <c r="AU35" s="49">
        <v>0.30308891039426522</v>
      </c>
    </row>
    <row r="36" spans="2:47" s="49" customFormat="1" x14ac:dyDescent="0.25">
      <c r="B36" s="53"/>
      <c r="C36" s="48"/>
      <c r="D36" s="53"/>
      <c r="E36" s="70"/>
      <c r="F36" s="73"/>
      <c r="G36" s="48"/>
      <c r="H36" s="48"/>
      <c r="I36" s="48"/>
      <c r="J36" s="74"/>
      <c r="K36" s="48"/>
      <c r="V36" s="38"/>
      <c r="W36" s="38"/>
      <c r="X36" s="39"/>
      <c r="Y36" s="40"/>
      <c r="Z36" s="38"/>
      <c r="AA36" s="38"/>
      <c r="AB36" s="38"/>
      <c r="AC36" s="48"/>
      <c r="AD36" s="48"/>
      <c r="AI36" s="38" t="s">
        <v>180</v>
      </c>
      <c r="AJ36" s="39" t="s">
        <v>93</v>
      </c>
      <c r="AK36" s="69" t="s">
        <v>147</v>
      </c>
      <c r="AL36" s="48" t="s">
        <v>197</v>
      </c>
      <c r="AM36" s="48" t="s">
        <v>69</v>
      </c>
      <c r="AN36" s="48">
        <v>1.8211742012316831E-3</v>
      </c>
      <c r="AP36" s="38" t="s">
        <v>180</v>
      </c>
      <c r="AQ36" s="39" t="s">
        <v>94</v>
      </c>
      <c r="AR36" s="69" t="s">
        <v>147</v>
      </c>
      <c r="AS36" s="48" t="s">
        <v>197</v>
      </c>
      <c r="AT36" s="48" t="s">
        <v>69</v>
      </c>
      <c r="AU36" s="49">
        <v>0.23170381362007167</v>
      </c>
    </row>
    <row r="37" spans="2:47" s="49" customFormat="1" ht="13" x14ac:dyDescent="0.3">
      <c r="B37" s="48"/>
      <c r="C37" s="48"/>
      <c r="D37" s="48"/>
      <c r="E37" s="70"/>
      <c r="F37" s="73"/>
      <c r="G37" s="48"/>
      <c r="H37" s="48"/>
      <c r="I37" s="48"/>
      <c r="J37" s="74"/>
      <c r="K37" s="48"/>
      <c r="V37" s="48"/>
      <c r="W37" s="48"/>
      <c r="X37" s="48"/>
      <c r="Y37" s="48"/>
      <c r="Z37" s="53"/>
      <c r="AA37" s="53"/>
      <c r="AB37" s="68"/>
      <c r="AC37" s="48"/>
      <c r="AD37" s="48"/>
      <c r="AI37" s="38" t="s">
        <v>180</v>
      </c>
      <c r="AJ37" s="39" t="s">
        <v>93</v>
      </c>
      <c r="AK37" s="48" t="s">
        <v>148</v>
      </c>
      <c r="AL37" s="48" t="s">
        <v>197</v>
      </c>
      <c r="AM37" s="48" t="s">
        <v>69</v>
      </c>
      <c r="AN37" s="48">
        <v>1.9153018835258307E-3</v>
      </c>
      <c r="AP37" s="38" t="s">
        <v>180</v>
      </c>
      <c r="AQ37" s="39" t="s">
        <v>94</v>
      </c>
      <c r="AR37" s="48" t="s">
        <v>148</v>
      </c>
      <c r="AS37" s="48" t="s">
        <v>197</v>
      </c>
      <c r="AT37" s="48" t="s">
        <v>69</v>
      </c>
      <c r="AU37" s="49">
        <v>0.14172651612903225</v>
      </c>
    </row>
    <row r="38" spans="2:47" x14ac:dyDescent="0.25">
      <c r="F38" s="73"/>
      <c r="G38" s="46"/>
      <c r="H38" s="75"/>
      <c r="W38" s="49"/>
      <c r="Y38" s="49"/>
      <c r="Z38" s="57"/>
      <c r="AA38" s="57"/>
      <c r="AI38" s="38" t="s">
        <v>180</v>
      </c>
      <c r="AJ38" s="39" t="s">
        <v>93</v>
      </c>
      <c r="AK38" s="69" t="s">
        <v>149</v>
      </c>
      <c r="AL38" s="48" t="s">
        <v>197</v>
      </c>
      <c r="AM38" s="48" t="s">
        <v>69</v>
      </c>
      <c r="AN38" s="48">
        <v>1.9744590518638132E-3</v>
      </c>
      <c r="AP38" s="38" t="s">
        <v>180</v>
      </c>
      <c r="AQ38" s="39" t="s">
        <v>94</v>
      </c>
      <c r="AR38" s="69" t="s">
        <v>149</v>
      </c>
      <c r="AS38" s="48" t="s">
        <v>197</v>
      </c>
      <c r="AT38" s="48" t="s">
        <v>69</v>
      </c>
      <c r="AU38" s="48">
        <v>5.3895483870967743E-2</v>
      </c>
    </row>
    <row r="39" spans="2:47" x14ac:dyDescent="0.25">
      <c r="H39" s="75"/>
      <c r="AI39" s="38" t="s">
        <v>180</v>
      </c>
      <c r="AJ39" s="39" t="s">
        <v>93</v>
      </c>
      <c r="AK39" s="48" t="s">
        <v>150</v>
      </c>
      <c r="AL39" s="48" t="s">
        <v>197</v>
      </c>
      <c r="AM39" s="48" t="s">
        <v>69</v>
      </c>
      <c r="AN39" s="48">
        <v>2.1878436160058393E-3</v>
      </c>
      <c r="AP39" s="38" t="s">
        <v>180</v>
      </c>
      <c r="AQ39" s="39" t="s">
        <v>94</v>
      </c>
      <c r="AR39" s="48" t="s">
        <v>150</v>
      </c>
      <c r="AS39" s="48" t="s">
        <v>197</v>
      </c>
      <c r="AT39" s="48" t="s">
        <v>69</v>
      </c>
      <c r="AU39" s="48">
        <v>2.6301935483870969E-3</v>
      </c>
    </row>
    <row r="40" spans="2:47" x14ac:dyDescent="0.25">
      <c r="B40" s="76"/>
      <c r="C40" s="48" t="s">
        <v>82</v>
      </c>
      <c r="H40" s="75"/>
      <c r="AI40" s="38" t="s">
        <v>180</v>
      </c>
      <c r="AJ40" s="39" t="s">
        <v>93</v>
      </c>
      <c r="AK40" s="69" t="s">
        <v>151</v>
      </c>
      <c r="AL40" s="48" t="s">
        <v>197</v>
      </c>
      <c r="AM40" s="48" t="s">
        <v>69</v>
      </c>
      <c r="AN40" s="48">
        <v>2.3889741533883327E-3</v>
      </c>
      <c r="AP40" s="38" t="s">
        <v>180</v>
      </c>
      <c r="AQ40" s="39" t="s">
        <v>94</v>
      </c>
      <c r="AR40" s="69" t="s">
        <v>151</v>
      </c>
      <c r="AS40" s="48" t="s">
        <v>197</v>
      </c>
      <c r="AT40" s="48" t="s">
        <v>69</v>
      </c>
      <c r="AU40" s="48">
        <v>0</v>
      </c>
    </row>
    <row r="41" spans="2:47" x14ac:dyDescent="0.25">
      <c r="B41" s="77"/>
      <c r="C41" s="48" t="s">
        <v>83</v>
      </c>
      <c r="H41" s="75"/>
      <c r="AI41" s="38" t="s">
        <v>180</v>
      </c>
      <c r="AJ41" s="39" t="s">
        <v>93</v>
      </c>
      <c r="AK41" s="48" t="s">
        <v>152</v>
      </c>
      <c r="AL41" s="48" t="s">
        <v>197</v>
      </c>
      <c r="AM41" s="48" t="s">
        <v>69</v>
      </c>
      <c r="AN41" s="48">
        <v>2.4063426997311056E-3</v>
      </c>
      <c r="AP41" s="38" t="s">
        <v>180</v>
      </c>
      <c r="AQ41" s="39" t="s">
        <v>94</v>
      </c>
      <c r="AR41" s="48" t="s">
        <v>152</v>
      </c>
      <c r="AS41" s="48" t="s">
        <v>197</v>
      </c>
      <c r="AT41" s="48" t="s">
        <v>69</v>
      </c>
      <c r="AU41" s="48">
        <v>0</v>
      </c>
    </row>
    <row r="42" spans="2:47" x14ac:dyDescent="0.25">
      <c r="E42" s="48" t="s">
        <v>89</v>
      </c>
      <c r="F42" s="48" t="s">
        <v>90</v>
      </c>
      <c r="H42" s="75"/>
      <c r="AI42" s="38" t="s">
        <v>180</v>
      </c>
      <c r="AJ42" s="39" t="s">
        <v>93</v>
      </c>
      <c r="AK42" s="69" t="s">
        <v>153</v>
      </c>
      <c r="AL42" s="48" t="s">
        <v>197</v>
      </c>
      <c r="AM42" s="48" t="s">
        <v>69</v>
      </c>
      <c r="AN42" s="48">
        <v>2.5925256698099051E-3</v>
      </c>
      <c r="AP42" s="38" t="s">
        <v>180</v>
      </c>
      <c r="AQ42" s="39" t="s">
        <v>94</v>
      </c>
      <c r="AR42" s="69" t="s">
        <v>153</v>
      </c>
      <c r="AS42" s="48" t="s">
        <v>197</v>
      </c>
      <c r="AT42" s="48" t="s">
        <v>69</v>
      </c>
      <c r="AU42" s="48">
        <v>0</v>
      </c>
    </row>
    <row r="43" spans="2:47" x14ac:dyDescent="0.25">
      <c r="AI43" s="38" t="s">
        <v>180</v>
      </c>
      <c r="AJ43" s="39" t="s">
        <v>93</v>
      </c>
      <c r="AK43" s="48" t="s">
        <v>154</v>
      </c>
      <c r="AL43" s="48" t="s">
        <v>197</v>
      </c>
      <c r="AM43" s="48" t="s">
        <v>69</v>
      </c>
      <c r="AN43" s="48">
        <v>2.9724559200622644E-3</v>
      </c>
      <c r="AP43" s="38" t="s">
        <v>180</v>
      </c>
      <c r="AQ43" s="39" t="s">
        <v>94</v>
      </c>
      <c r="AR43" s="48" t="s">
        <v>154</v>
      </c>
      <c r="AS43" s="48" t="s">
        <v>197</v>
      </c>
      <c r="AT43" s="48" t="s">
        <v>69</v>
      </c>
      <c r="AU43" s="48">
        <v>0</v>
      </c>
    </row>
    <row r="44" spans="2:47" x14ac:dyDescent="0.25">
      <c r="E44" s="48" t="s">
        <v>91</v>
      </c>
      <c r="F44" s="48">
        <f>24*365</f>
        <v>8760</v>
      </c>
      <c r="AI44" s="38" t="s">
        <v>180</v>
      </c>
      <c r="AJ44" s="39" t="s">
        <v>93</v>
      </c>
      <c r="AK44" s="69" t="s">
        <v>155</v>
      </c>
      <c r="AL44" s="48" t="s">
        <v>197</v>
      </c>
      <c r="AM44" s="48" t="s">
        <v>69</v>
      </c>
      <c r="AN44" s="48">
        <v>3.3823091606694387E-3</v>
      </c>
      <c r="AP44" s="38" t="s">
        <v>180</v>
      </c>
      <c r="AQ44" s="39" t="s">
        <v>94</v>
      </c>
      <c r="AR44" s="69" t="s">
        <v>155</v>
      </c>
      <c r="AS44" s="48" t="s">
        <v>197</v>
      </c>
      <c r="AT44" s="48" t="s">
        <v>69</v>
      </c>
      <c r="AU44" s="48">
        <v>0</v>
      </c>
    </row>
    <row r="45" spans="2:47" x14ac:dyDescent="0.25">
      <c r="E45" s="46"/>
      <c r="AI45" s="38" t="s">
        <v>180</v>
      </c>
      <c r="AJ45" s="39" t="s">
        <v>93</v>
      </c>
      <c r="AK45" s="38" t="s">
        <v>156</v>
      </c>
      <c r="AL45" s="48" t="s">
        <v>197</v>
      </c>
      <c r="AM45" s="48" t="s">
        <v>69</v>
      </c>
      <c r="AN45" s="48">
        <v>3.3051976250754521E-3</v>
      </c>
      <c r="AP45" s="38" t="s">
        <v>180</v>
      </c>
      <c r="AQ45" s="39" t="s">
        <v>94</v>
      </c>
      <c r="AR45" s="38" t="s">
        <v>156</v>
      </c>
      <c r="AS45" s="48" t="s">
        <v>197</v>
      </c>
      <c r="AT45" s="48" t="s">
        <v>69</v>
      </c>
      <c r="AU45" s="48">
        <v>0</v>
      </c>
    </row>
    <row r="46" spans="2:47" x14ac:dyDescent="0.25">
      <c r="AI46" s="38" t="s">
        <v>180</v>
      </c>
      <c r="AJ46" s="39" t="s">
        <v>93</v>
      </c>
      <c r="AK46" s="38" t="s">
        <v>157</v>
      </c>
      <c r="AL46" s="48" t="s">
        <v>197</v>
      </c>
      <c r="AM46" s="48" t="s">
        <v>69</v>
      </c>
      <c r="AN46" s="48">
        <v>3.1618331753269246E-3</v>
      </c>
      <c r="AP46" s="38" t="s">
        <v>180</v>
      </c>
      <c r="AQ46" s="39" t="s">
        <v>94</v>
      </c>
      <c r="AR46" s="38" t="s">
        <v>157</v>
      </c>
      <c r="AS46" s="48" t="s">
        <v>197</v>
      </c>
      <c r="AT46" s="48" t="s">
        <v>69</v>
      </c>
      <c r="AU46" s="48">
        <v>0</v>
      </c>
    </row>
    <row r="47" spans="2:47" x14ac:dyDescent="0.25">
      <c r="AI47" s="38" t="s">
        <v>180</v>
      </c>
      <c r="AJ47" s="39" t="s">
        <v>93</v>
      </c>
      <c r="AK47" s="38" t="s">
        <v>158</v>
      </c>
      <c r="AL47" s="48" t="s">
        <v>197</v>
      </c>
      <c r="AM47" s="48" t="s">
        <v>69</v>
      </c>
      <c r="AN47" s="48">
        <v>2.8979409360310663E-3</v>
      </c>
      <c r="AP47" s="38" t="s">
        <v>180</v>
      </c>
      <c r="AQ47" s="39" t="s">
        <v>94</v>
      </c>
      <c r="AR47" s="38" t="s">
        <v>158</v>
      </c>
      <c r="AS47" s="48" t="s">
        <v>197</v>
      </c>
      <c r="AT47" s="48" t="s">
        <v>69</v>
      </c>
      <c r="AU47" s="48">
        <v>0</v>
      </c>
    </row>
    <row r="48" spans="2:47" x14ac:dyDescent="0.25">
      <c r="AI48" s="38" t="s">
        <v>180</v>
      </c>
      <c r="AJ48" s="39" t="s">
        <v>93</v>
      </c>
      <c r="AK48" s="38" t="s">
        <v>159</v>
      </c>
      <c r="AL48" s="48" t="s">
        <v>197</v>
      </c>
      <c r="AM48" s="48" t="s">
        <v>69</v>
      </c>
      <c r="AN48" s="48">
        <v>2.7156926103261707E-3</v>
      </c>
      <c r="AP48" s="38" t="s">
        <v>180</v>
      </c>
      <c r="AQ48" s="39" t="s">
        <v>94</v>
      </c>
      <c r="AR48" s="38" t="s">
        <v>159</v>
      </c>
      <c r="AS48" s="48" t="s">
        <v>197</v>
      </c>
      <c r="AT48" s="48" t="s">
        <v>69</v>
      </c>
      <c r="AU48" s="48">
        <v>0</v>
      </c>
    </row>
    <row r="49" spans="2:47" x14ac:dyDescent="0.25">
      <c r="AI49" s="38" t="s">
        <v>180</v>
      </c>
      <c r="AJ49" s="39" t="s">
        <v>93</v>
      </c>
      <c r="AK49" s="38" t="s">
        <v>160</v>
      </c>
      <c r="AL49" s="48" t="s">
        <v>197</v>
      </c>
      <c r="AM49" s="48" t="s">
        <v>69</v>
      </c>
      <c r="AN49" s="48">
        <v>2.5452192095824343E-3</v>
      </c>
      <c r="AP49" s="38" t="s">
        <v>180</v>
      </c>
      <c r="AQ49" s="39" t="s">
        <v>94</v>
      </c>
      <c r="AR49" s="38" t="s">
        <v>160</v>
      </c>
      <c r="AS49" s="48" t="s">
        <v>197</v>
      </c>
      <c r="AT49" s="48" t="s">
        <v>69</v>
      </c>
      <c r="AU49" s="48">
        <v>0</v>
      </c>
    </row>
    <row r="50" spans="2:47" x14ac:dyDescent="0.25">
      <c r="AI50" s="38" t="s">
        <v>180</v>
      </c>
      <c r="AJ50" s="39" t="s">
        <v>93</v>
      </c>
      <c r="AK50" s="38" t="s">
        <v>161</v>
      </c>
      <c r="AL50" s="48" t="s">
        <v>197</v>
      </c>
      <c r="AM50" s="48" t="s">
        <v>69</v>
      </c>
      <c r="AN50" s="48">
        <v>2.5834450529081338E-3</v>
      </c>
      <c r="AP50" s="38" t="s">
        <v>180</v>
      </c>
      <c r="AQ50" s="39" t="s">
        <v>94</v>
      </c>
      <c r="AR50" s="38" t="s">
        <v>161</v>
      </c>
      <c r="AS50" s="48" t="s">
        <v>197</v>
      </c>
      <c r="AT50" s="48" t="s">
        <v>69</v>
      </c>
      <c r="AU50" s="48">
        <v>0</v>
      </c>
    </row>
    <row r="51" spans="2:47" x14ac:dyDescent="0.25">
      <c r="AI51" s="38" t="s">
        <v>180</v>
      </c>
      <c r="AJ51" s="39" t="s">
        <v>93</v>
      </c>
      <c r="AK51" s="38" t="s">
        <v>162</v>
      </c>
      <c r="AL51" s="48" t="s">
        <v>197</v>
      </c>
      <c r="AM51" s="48" t="s">
        <v>69</v>
      </c>
      <c r="AN51" s="48">
        <v>2.7432881310744317E-3</v>
      </c>
      <c r="AP51" s="38" t="s">
        <v>180</v>
      </c>
      <c r="AQ51" s="39" t="s">
        <v>94</v>
      </c>
      <c r="AR51" s="38" t="s">
        <v>162</v>
      </c>
      <c r="AS51" s="48" t="s">
        <v>197</v>
      </c>
      <c r="AT51" s="48" t="s">
        <v>69</v>
      </c>
      <c r="AU51" s="48">
        <v>6.4190919952210254E-3</v>
      </c>
    </row>
    <row r="52" spans="2:47" ht="13" x14ac:dyDescent="0.3">
      <c r="B52" s="79" t="s">
        <v>185</v>
      </c>
      <c r="C52" s="79"/>
      <c r="D52"/>
      <c r="E52"/>
      <c r="F52"/>
      <c r="G52"/>
      <c r="H52"/>
      <c r="I52"/>
      <c r="J52"/>
      <c r="K52"/>
      <c r="L52"/>
      <c r="AI52" s="38" t="s">
        <v>180</v>
      </c>
      <c r="AJ52" s="39" t="s">
        <v>93</v>
      </c>
      <c r="AK52" s="38" t="s">
        <v>163</v>
      </c>
      <c r="AL52" s="48" t="s">
        <v>197</v>
      </c>
      <c r="AM52" s="48" t="s">
        <v>69</v>
      </c>
      <c r="AN52" s="48">
        <v>2.8314721319216154E-3</v>
      </c>
      <c r="AP52" s="38" t="s">
        <v>180</v>
      </c>
      <c r="AQ52" s="39" t="s">
        <v>94</v>
      </c>
      <c r="AR52" s="38" t="s">
        <v>163</v>
      </c>
      <c r="AS52" s="48" t="s">
        <v>197</v>
      </c>
      <c r="AT52" s="48" t="s">
        <v>69</v>
      </c>
      <c r="AU52" s="48">
        <v>7.0838474313022717E-2</v>
      </c>
    </row>
    <row r="53" spans="2:47" ht="13" x14ac:dyDescent="0.3">
      <c r="B53" s="79"/>
      <c r="C53" s="79"/>
      <c r="D53"/>
      <c r="E53"/>
      <c r="F53"/>
      <c r="G53"/>
      <c r="H53"/>
      <c r="I53"/>
      <c r="J53"/>
      <c r="K53"/>
      <c r="L53"/>
      <c r="AI53" s="38" t="s">
        <v>180</v>
      </c>
      <c r="AJ53" s="39" t="s">
        <v>93</v>
      </c>
      <c r="AK53" s="38" t="s">
        <v>164</v>
      </c>
      <c r="AL53" s="48" t="s">
        <v>197</v>
      </c>
      <c r="AM53" s="48" t="s">
        <v>69</v>
      </c>
      <c r="AN53" s="48">
        <v>2.8141143326017269E-3</v>
      </c>
      <c r="AP53" s="38" t="s">
        <v>180</v>
      </c>
      <c r="AQ53" s="39" t="s">
        <v>94</v>
      </c>
      <c r="AR53" s="38" t="s">
        <v>164</v>
      </c>
      <c r="AS53" s="48" t="s">
        <v>197</v>
      </c>
      <c r="AT53" s="48" t="s">
        <v>69</v>
      </c>
      <c r="AU53" s="48">
        <v>0.15999428793309439</v>
      </c>
    </row>
    <row r="54" spans="2:47" ht="13" thickBot="1" x14ac:dyDescent="0.3">
      <c r="B54" s="80" t="s">
        <v>186</v>
      </c>
      <c r="C54" s="80" t="s">
        <v>187</v>
      </c>
      <c r="D54" s="80" t="s">
        <v>11</v>
      </c>
      <c r="E54" s="80" t="s">
        <v>130</v>
      </c>
      <c r="F54" s="80">
        <v>2022</v>
      </c>
      <c r="G54" s="80">
        <v>2025</v>
      </c>
      <c r="H54" s="80">
        <v>2030</v>
      </c>
      <c r="I54" s="80">
        <v>2035</v>
      </c>
      <c r="J54" s="80">
        <v>2040</v>
      </c>
      <c r="K54" s="80">
        <v>2045</v>
      </c>
      <c r="L54" s="80">
        <v>2050</v>
      </c>
      <c r="AI54" s="38" t="s">
        <v>180</v>
      </c>
      <c r="AJ54" s="39" t="s">
        <v>93</v>
      </c>
      <c r="AK54" s="38" t="s">
        <v>165</v>
      </c>
      <c r="AL54" s="48" t="s">
        <v>197</v>
      </c>
      <c r="AM54" s="48" t="s">
        <v>69</v>
      </c>
      <c r="AN54" s="48">
        <v>2.6656478128544076E-3</v>
      </c>
      <c r="AP54" s="38" t="s">
        <v>180</v>
      </c>
      <c r="AQ54" s="39" t="s">
        <v>94</v>
      </c>
      <c r="AR54" s="38" t="s">
        <v>165</v>
      </c>
      <c r="AS54" s="48" t="s">
        <v>197</v>
      </c>
      <c r="AT54" s="48" t="s">
        <v>69</v>
      </c>
      <c r="AU54" s="48">
        <v>0.25343209199522099</v>
      </c>
    </row>
    <row r="55" spans="2:47" x14ac:dyDescent="0.25">
      <c r="B55" t="s">
        <v>121</v>
      </c>
      <c r="C55" t="s">
        <v>94</v>
      </c>
      <c r="D55" t="s">
        <v>189</v>
      </c>
      <c r="E55" s="1" t="s">
        <v>190</v>
      </c>
      <c r="F55">
        <v>0</v>
      </c>
      <c r="G55">
        <v>0</v>
      </c>
      <c r="H55"/>
      <c r="I55"/>
      <c r="J55"/>
      <c r="K55"/>
      <c r="L55"/>
      <c r="AI55" s="38" t="s">
        <v>180</v>
      </c>
      <c r="AJ55" s="39" t="s">
        <v>93</v>
      </c>
      <c r="AK55" s="38" t="s">
        <v>166</v>
      </c>
      <c r="AL55" s="48" t="s">
        <v>197</v>
      </c>
      <c r="AM55" s="48" t="s">
        <v>69</v>
      </c>
      <c r="AN55" s="48">
        <v>2.4530677112863486E-3</v>
      </c>
      <c r="AP55" s="38" t="s">
        <v>180</v>
      </c>
      <c r="AQ55" s="39" t="s">
        <v>94</v>
      </c>
      <c r="AR55" s="38" t="s">
        <v>166</v>
      </c>
      <c r="AS55" s="48" t="s">
        <v>197</v>
      </c>
      <c r="AT55" s="48" t="s">
        <v>69</v>
      </c>
      <c r="AU55" s="48">
        <v>0.32960197968936678</v>
      </c>
    </row>
    <row r="56" spans="2:47" x14ac:dyDescent="0.25">
      <c r="B56" t="s">
        <v>121</v>
      </c>
      <c r="C56" t="s">
        <v>93</v>
      </c>
      <c r="D56" t="s">
        <v>189</v>
      </c>
      <c r="E56" s="1" t="s">
        <v>190</v>
      </c>
      <c r="F56">
        <v>0</v>
      </c>
      <c r="G56">
        <v>0</v>
      </c>
      <c r="H56"/>
      <c r="I56"/>
      <c r="J56"/>
      <c r="K56"/>
      <c r="L56"/>
      <c r="AI56" s="38" t="s">
        <v>180</v>
      </c>
      <c r="AJ56" s="39" t="s">
        <v>93</v>
      </c>
      <c r="AK56" s="38" t="s">
        <v>167</v>
      </c>
      <c r="AL56" s="48" t="s">
        <v>197</v>
      </c>
      <c r="AM56" s="48" t="s">
        <v>69</v>
      </c>
      <c r="AN56" s="48">
        <v>2.1363241345921055E-3</v>
      </c>
      <c r="AP56" s="38" t="s">
        <v>180</v>
      </c>
      <c r="AQ56" s="39" t="s">
        <v>94</v>
      </c>
      <c r="AR56" s="38" t="s">
        <v>167</v>
      </c>
      <c r="AS56" s="48" t="s">
        <v>197</v>
      </c>
      <c r="AT56" s="48" t="s">
        <v>69</v>
      </c>
      <c r="AU56" s="48">
        <v>0.37592762246117079</v>
      </c>
    </row>
    <row r="57" spans="2:47" x14ac:dyDescent="0.25">
      <c r="B57" t="s">
        <v>121</v>
      </c>
      <c r="C57" t="s">
        <v>65</v>
      </c>
      <c r="D57" t="s">
        <v>189</v>
      </c>
      <c r="E57" s="1" t="s">
        <v>190</v>
      </c>
      <c r="F57">
        <v>0</v>
      </c>
      <c r="G57">
        <v>0</v>
      </c>
      <c r="H57"/>
      <c r="I57"/>
      <c r="J57"/>
      <c r="K57"/>
      <c r="L57"/>
      <c r="AI57" s="38" t="s">
        <v>180</v>
      </c>
      <c r="AJ57" s="39" t="s">
        <v>93</v>
      </c>
      <c r="AK57" s="38" t="s">
        <v>168</v>
      </c>
      <c r="AL57" s="48" t="s">
        <v>197</v>
      </c>
      <c r="AM57" s="48" t="s">
        <v>69</v>
      </c>
      <c r="AN57" s="48">
        <v>1.8660639529435976E-3</v>
      </c>
      <c r="AP57" s="38" t="s">
        <v>180</v>
      </c>
      <c r="AQ57" s="39" t="s">
        <v>94</v>
      </c>
      <c r="AR57" s="38" t="s">
        <v>168</v>
      </c>
      <c r="AS57" s="48" t="s">
        <v>197</v>
      </c>
      <c r="AT57" s="48" t="s">
        <v>69</v>
      </c>
      <c r="AU57" s="48">
        <v>0.38776096057347664</v>
      </c>
    </row>
    <row r="58" spans="2:47" x14ac:dyDescent="0.25">
      <c r="B58" t="s">
        <v>121</v>
      </c>
      <c r="C58" t="s">
        <v>188</v>
      </c>
      <c r="D58" t="s">
        <v>189</v>
      </c>
      <c r="E58" s="1" t="s">
        <v>190</v>
      </c>
      <c r="F58">
        <v>0</v>
      </c>
      <c r="G58">
        <v>0</v>
      </c>
      <c r="H58"/>
      <c r="I58"/>
      <c r="J58"/>
      <c r="K58"/>
      <c r="L58"/>
      <c r="AI58" s="38" t="s">
        <v>180</v>
      </c>
      <c r="AJ58" s="39" t="s">
        <v>93</v>
      </c>
      <c r="AK58" s="38" t="s">
        <v>169</v>
      </c>
      <c r="AL58" s="48" t="s">
        <v>197</v>
      </c>
      <c r="AM58" s="48" t="s">
        <v>69</v>
      </c>
      <c r="AN58" s="48">
        <v>1.7487528282965712E-3</v>
      </c>
      <c r="AP58" s="38" t="s">
        <v>180</v>
      </c>
      <c r="AQ58" s="39" t="s">
        <v>94</v>
      </c>
      <c r="AR58" s="38" t="s">
        <v>169</v>
      </c>
      <c r="AS58" s="48" t="s">
        <v>197</v>
      </c>
      <c r="AT58" s="48" t="s">
        <v>69</v>
      </c>
      <c r="AU58" s="48">
        <v>0.36426783751493425</v>
      </c>
    </row>
    <row r="59" spans="2:47" x14ac:dyDescent="0.25">
      <c r="B59" t="s">
        <v>121</v>
      </c>
      <c r="C59" t="s">
        <v>102</v>
      </c>
      <c r="D59" t="s">
        <v>189</v>
      </c>
      <c r="E59" s="1" t="s">
        <v>190</v>
      </c>
      <c r="F59">
        <v>0</v>
      </c>
      <c r="G59">
        <v>0</v>
      </c>
      <c r="H59"/>
      <c r="I59"/>
      <c r="J59"/>
      <c r="K59"/>
      <c r="L59"/>
      <c r="AI59" s="38" t="s">
        <v>180</v>
      </c>
      <c r="AJ59" s="39" t="s">
        <v>93</v>
      </c>
      <c r="AK59" s="38" t="s">
        <v>170</v>
      </c>
      <c r="AL59" s="48" t="s">
        <v>197</v>
      </c>
      <c r="AM59" s="48" t="s">
        <v>69</v>
      </c>
      <c r="AN59" s="48">
        <v>1.6637860863902745E-3</v>
      </c>
      <c r="AP59" s="38" t="s">
        <v>180</v>
      </c>
      <c r="AQ59" s="39" t="s">
        <v>94</v>
      </c>
      <c r="AR59" s="38" t="s">
        <v>170</v>
      </c>
      <c r="AS59" s="48" t="s">
        <v>197</v>
      </c>
      <c r="AT59" s="48" t="s">
        <v>69</v>
      </c>
      <c r="AU59" s="48">
        <v>0.31009156033452806</v>
      </c>
    </row>
    <row r="60" spans="2:47" x14ac:dyDescent="0.25">
      <c r="B60" t="s">
        <v>121</v>
      </c>
      <c r="C60" t="s">
        <v>105</v>
      </c>
      <c r="D60" t="s">
        <v>189</v>
      </c>
      <c r="E60" s="1" t="s">
        <v>190</v>
      </c>
      <c r="F60">
        <v>0</v>
      </c>
      <c r="G60">
        <v>0</v>
      </c>
      <c r="H60"/>
      <c r="I60"/>
      <c r="J60"/>
      <c r="K60"/>
      <c r="L60"/>
      <c r="AI60" s="38" t="s">
        <v>180</v>
      </c>
      <c r="AJ60" s="39" t="s">
        <v>93</v>
      </c>
      <c r="AK60" s="38" t="s">
        <v>171</v>
      </c>
      <c r="AL60" s="48" t="s">
        <v>197</v>
      </c>
      <c r="AM60" s="48" t="s">
        <v>69</v>
      </c>
      <c r="AN60" s="48">
        <v>1.8211742012316831E-3</v>
      </c>
      <c r="AP60" s="38" t="s">
        <v>180</v>
      </c>
      <c r="AQ60" s="39" t="s">
        <v>94</v>
      </c>
      <c r="AR60" s="38" t="s">
        <v>171</v>
      </c>
      <c r="AS60" s="48" t="s">
        <v>197</v>
      </c>
      <c r="AT60" s="48" t="s">
        <v>69</v>
      </c>
      <c r="AU60" s="48">
        <v>0.23188419952210276</v>
      </c>
    </row>
    <row r="61" spans="2:47" x14ac:dyDescent="0.25">
      <c r="B61" t="s">
        <v>121</v>
      </c>
      <c r="C61" t="s">
        <v>66</v>
      </c>
      <c r="D61" t="s">
        <v>189</v>
      </c>
      <c r="E61" s="1" t="s">
        <v>190</v>
      </c>
      <c r="F61">
        <v>0</v>
      </c>
      <c r="G61">
        <v>0</v>
      </c>
      <c r="H61"/>
      <c r="I61"/>
      <c r="J61"/>
      <c r="K61"/>
      <c r="L61"/>
      <c r="AI61" s="38" t="s">
        <v>180</v>
      </c>
      <c r="AJ61" s="39" t="s">
        <v>93</v>
      </c>
      <c r="AK61" s="38" t="s">
        <v>172</v>
      </c>
      <c r="AL61" s="48" t="s">
        <v>197</v>
      </c>
      <c r="AM61" s="48" t="s">
        <v>69</v>
      </c>
      <c r="AN61" s="48">
        <v>1.9153018835258307E-3</v>
      </c>
      <c r="AP61" s="38" t="s">
        <v>180</v>
      </c>
      <c r="AQ61" s="39" t="s">
        <v>94</v>
      </c>
      <c r="AR61" s="38" t="s">
        <v>172</v>
      </c>
      <c r="AS61" s="48" t="s">
        <v>197</v>
      </c>
      <c r="AT61" s="48" t="s">
        <v>69</v>
      </c>
      <c r="AU61" s="48">
        <v>0.13618056033452808</v>
      </c>
    </row>
    <row r="62" spans="2:47" x14ac:dyDescent="0.25">
      <c r="B62" t="s">
        <v>121</v>
      </c>
      <c r="C62" t="s">
        <v>103</v>
      </c>
      <c r="D62" t="s">
        <v>189</v>
      </c>
      <c r="E62" s="1" t="s">
        <v>190</v>
      </c>
      <c r="F62">
        <v>0</v>
      </c>
      <c r="G62">
        <v>0</v>
      </c>
      <c r="H62"/>
      <c r="I62"/>
      <c r="J62"/>
      <c r="K62"/>
      <c r="L62"/>
      <c r="AI62" s="38" t="s">
        <v>180</v>
      </c>
      <c r="AJ62" s="39" t="s">
        <v>93</v>
      </c>
      <c r="AK62" s="38" t="s">
        <v>173</v>
      </c>
      <c r="AL62" s="48" t="s">
        <v>197</v>
      </c>
      <c r="AM62" s="48" t="s">
        <v>69</v>
      </c>
      <c r="AN62" s="48">
        <v>1.9744590518638132E-3</v>
      </c>
      <c r="AP62" s="38" t="s">
        <v>180</v>
      </c>
      <c r="AQ62" s="39" t="s">
        <v>94</v>
      </c>
      <c r="AR62" s="38" t="s">
        <v>173</v>
      </c>
      <c r="AS62" s="48" t="s">
        <v>197</v>
      </c>
      <c r="AT62" s="48" t="s">
        <v>69</v>
      </c>
      <c r="AU62" s="48">
        <v>4.9357593787335743E-2</v>
      </c>
    </row>
    <row r="63" spans="2:47" x14ac:dyDescent="0.25">
      <c r="AI63" s="38" t="s">
        <v>180</v>
      </c>
      <c r="AJ63" s="39" t="s">
        <v>93</v>
      </c>
      <c r="AK63" s="38" t="s">
        <v>174</v>
      </c>
      <c r="AL63" s="48" t="s">
        <v>197</v>
      </c>
      <c r="AM63" s="48" t="s">
        <v>69</v>
      </c>
      <c r="AN63" s="48">
        <v>2.1878436160058393E-3</v>
      </c>
      <c r="AP63" s="38" t="s">
        <v>180</v>
      </c>
      <c r="AQ63" s="39" t="s">
        <v>94</v>
      </c>
      <c r="AR63" s="38" t="s">
        <v>174</v>
      </c>
      <c r="AS63" s="48" t="s">
        <v>197</v>
      </c>
      <c r="AT63" s="48" t="s">
        <v>69</v>
      </c>
      <c r="AU63" s="48">
        <v>7.5268817204301086E-6</v>
      </c>
    </row>
    <row r="64" spans="2:47" x14ac:dyDescent="0.25">
      <c r="AI64" s="38" t="s">
        <v>180</v>
      </c>
      <c r="AJ64" s="39" t="s">
        <v>93</v>
      </c>
      <c r="AK64" s="38" t="s">
        <v>175</v>
      </c>
      <c r="AL64" s="48" t="s">
        <v>197</v>
      </c>
      <c r="AM64" s="48" t="s">
        <v>69</v>
      </c>
      <c r="AN64" s="48">
        <v>2.3889741533883327E-3</v>
      </c>
      <c r="AP64" s="38" t="s">
        <v>180</v>
      </c>
      <c r="AQ64" s="39" t="s">
        <v>94</v>
      </c>
      <c r="AR64" s="38" t="s">
        <v>175</v>
      </c>
      <c r="AS64" s="48" t="s">
        <v>197</v>
      </c>
      <c r="AT64" s="48" t="s">
        <v>69</v>
      </c>
      <c r="AU64" s="48">
        <v>0</v>
      </c>
    </row>
    <row r="65" spans="35:47" x14ac:dyDescent="0.25">
      <c r="AI65" s="38" t="s">
        <v>180</v>
      </c>
      <c r="AJ65" s="39" t="s">
        <v>93</v>
      </c>
      <c r="AK65" s="38" t="s">
        <v>176</v>
      </c>
      <c r="AL65" s="48" t="s">
        <v>197</v>
      </c>
      <c r="AM65" s="48" t="s">
        <v>69</v>
      </c>
      <c r="AN65" s="48">
        <v>2.4063426997311056E-3</v>
      </c>
      <c r="AP65" s="38" t="s">
        <v>180</v>
      </c>
      <c r="AQ65" s="39" t="s">
        <v>94</v>
      </c>
      <c r="AR65" s="38" t="s">
        <v>176</v>
      </c>
      <c r="AS65" s="48" t="s">
        <v>197</v>
      </c>
      <c r="AT65" s="48" t="s">
        <v>69</v>
      </c>
      <c r="AU65" s="48">
        <v>0</v>
      </c>
    </row>
    <row r="66" spans="35:47" x14ac:dyDescent="0.25">
      <c r="AI66" s="38" t="s">
        <v>180</v>
      </c>
      <c r="AJ66" s="39" t="s">
        <v>93</v>
      </c>
      <c r="AK66" s="38" t="s">
        <v>177</v>
      </c>
      <c r="AL66" s="48" t="s">
        <v>197</v>
      </c>
      <c r="AM66" s="48" t="s">
        <v>69</v>
      </c>
      <c r="AN66" s="48">
        <v>2.5925256698099051E-3</v>
      </c>
      <c r="AP66" s="38" t="s">
        <v>180</v>
      </c>
      <c r="AQ66" s="39" t="s">
        <v>94</v>
      </c>
      <c r="AR66" s="38" t="s">
        <v>177</v>
      </c>
      <c r="AS66" s="48" t="s">
        <v>197</v>
      </c>
      <c r="AT66" s="48" t="s">
        <v>69</v>
      </c>
      <c r="AU66" s="48">
        <v>0</v>
      </c>
    </row>
    <row r="67" spans="35:47" x14ac:dyDescent="0.25">
      <c r="AI67" s="38" t="s">
        <v>180</v>
      </c>
      <c r="AJ67" s="39" t="s">
        <v>93</v>
      </c>
      <c r="AK67" s="38" t="s">
        <v>178</v>
      </c>
      <c r="AL67" s="48" t="s">
        <v>197</v>
      </c>
      <c r="AM67" s="48" t="s">
        <v>69</v>
      </c>
      <c r="AN67" s="48">
        <v>2.9724559200622644E-3</v>
      </c>
      <c r="AP67" s="38" t="s">
        <v>180</v>
      </c>
      <c r="AQ67" s="39" t="s">
        <v>94</v>
      </c>
      <c r="AR67" s="38" t="s">
        <v>178</v>
      </c>
      <c r="AS67" s="48" t="s">
        <v>197</v>
      </c>
      <c r="AT67" s="48" t="s">
        <v>69</v>
      </c>
      <c r="AU67" s="48">
        <v>0</v>
      </c>
    </row>
    <row r="68" spans="35:47" x14ac:dyDescent="0.25">
      <c r="AI68" s="38" t="s">
        <v>180</v>
      </c>
      <c r="AJ68" s="39" t="s">
        <v>93</v>
      </c>
      <c r="AK68" s="38" t="s">
        <v>179</v>
      </c>
      <c r="AL68" s="48" t="s">
        <v>197</v>
      </c>
      <c r="AM68" s="48" t="s">
        <v>69</v>
      </c>
      <c r="AN68" s="48">
        <v>3.3823091606694387E-3</v>
      </c>
      <c r="AP68" s="38" t="s">
        <v>180</v>
      </c>
      <c r="AQ68" s="39" t="s">
        <v>94</v>
      </c>
      <c r="AR68" s="38" t="s">
        <v>179</v>
      </c>
      <c r="AS68" s="48" t="s">
        <v>197</v>
      </c>
      <c r="AT68" s="48" t="s">
        <v>69</v>
      </c>
      <c r="AU68" s="48">
        <v>0</v>
      </c>
    </row>
    <row r="69" spans="35:47" x14ac:dyDescent="0.25">
      <c r="AI69" s="38"/>
      <c r="AJ69" s="53"/>
    </row>
    <row r="70" spans="35:47" x14ac:dyDescent="0.25">
      <c r="AI70" s="38"/>
      <c r="AJ70" s="53"/>
    </row>
    <row r="71" spans="35:47" x14ac:dyDescent="0.25">
      <c r="AI71" s="38"/>
      <c r="AJ71" s="53"/>
    </row>
    <row r="72" spans="35:47" x14ac:dyDescent="0.25">
      <c r="AI72" s="38"/>
      <c r="AJ72" s="53"/>
    </row>
    <row r="73" spans="35:47" x14ac:dyDescent="0.25">
      <c r="AI73" s="38"/>
      <c r="AJ73" s="53"/>
    </row>
    <row r="74" spans="35:47" x14ac:dyDescent="0.25">
      <c r="AI74" s="38"/>
      <c r="AJ74" s="53"/>
    </row>
    <row r="75" spans="35:47" x14ac:dyDescent="0.25">
      <c r="AI75" s="38"/>
      <c r="AJ75" s="53"/>
    </row>
    <row r="76" spans="35:47" x14ac:dyDescent="0.25">
      <c r="AI76" s="38"/>
      <c r="AJ76" s="53"/>
    </row>
    <row r="77" spans="35:47" x14ac:dyDescent="0.25">
      <c r="AI77" s="38"/>
      <c r="AJ77" s="53"/>
    </row>
    <row r="78" spans="35:47" x14ac:dyDescent="0.25">
      <c r="AI78" s="38"/>
      <c r="AJ78" s="53"/>
    </row>
    <row r="79" spans="35:47" x14ac:dyDescent="0.25">
      <c r="AI79" s="38"/>
      <c r="AJ79" s="53"/>
    </row>
    <row r="80" spans="35:47" x14ac:dyDescent="0.25">
      <c r="AI80" s="38"/>
      <c r="AJ80" s="53"/>
    </row>
    <row r="81" spans="35:36" x14ac:dyDescent="0.25">
      <c r="AI81" s="38"/>
      <c r="AJ81" s="53"/>
    </row>
    <row r="82" spans="35:36" x14ac:dyDescent="0.25">
      <c r="AI82" s="38"/>
      <c r="AJ82" s="53"/>
    </row>
    <row r="83" spans="35:36" x14ac:dyDescent="0.25">
      <c r="AI83" s="38"/>
      <c r="AJ83" s="53"/>
    </row>
    <row r="84" spans="35:36" x14ac:dyDescent="0.25">
      <c r="AI84" s="38"/>
      <c r="AJ84" s="53"/>
    </row>
    <row r="85" spans="35:36" x14ac:dyDescent="0.25">
      <c r="AI85" s="38"/>
      <c r="AJ85" s="53"/>
    </row>
    <row r="86" spans="35:36" x14ac:dyDescent="0.25">
      <c r="AI86" s="38"/>
      <c r="AJ86" s="53"/>
    </row>
    <row r="87" spans="35:36" x14ac:dyDescent="0.25">
      <c r="AI87" s="38"/>
      <c r="AJ87" s="53"/>
    </row>
    <row r="88" spans="35:36" x14ac:dyDescent="0.25">
      <c r="AI88" s="38"/>
      <c r="AJ88" s="53"/>
    </row>
    <row r="89" spans="35:36" x14ac:dyDescent="0.25">
      <c r="AI89" s="38"/>
      <c r="AJ89" s="53"/>
    </row>
    <row r="90" spans="35:36" x14ac:dyDescent="0.25">
      <c r="AI90" s="38"/>
      <c r="AJ90" s="53"/>
    </row>
    <row r="91" spans="35:36" x14ac:dyDescent="0.25">
      <c r="AI91" s="38"/>
      <c r="AJ91" s="53"/>
    </row>
    <row r="92" spans="35:36" x14ac:dyDescent="0.25">
      <c r="AI92" s="38"/>
      <c r="AJ92" s="53"/>
    </row>
    <row r="93" spans="35:36" x14ac:dyDescent="0.25">
      <c r="AI93" s="38"/>
      <c r="AJ93" s="53"/>
    </row>
    <row r="94" spans="35:36" x14ac:dyDescent="0.25">
      <c r="AI94" s="38"/>
      <c r="AJ94" s="53"/>
    </row>
    <row r="95" spans="35:36" x14ac:dyDescent="0.25">
      <c r="AI95" s="38"/>
      <c r="AJ95" s="53"/>
    </row>
    <row r="96" spans="35:36" x14ac:dyDescent="0.25">
      <c r="AI96" s="38"/>
      <c r="AJ96" s="53"/>
    </row>
    <row r="97" spans="35:36" x14ac:dyDescent="0.25">
      <c r="AI97" s="38"/>
      <c r="AJ97" s="53"/>
    </row>
    <row r="98" spans="35:36" x14ac:dyDescent="0.25">
      <c r="AI98" s="38"/>
      <c r="AJ98" s="53"/>
    </row>
    <row r="99" spans="35:36" x14ac:dyDescent="0.25">
      <c r="AI99" s="38"/>
      <c r="AJ99" s="53"/>
    </row>
    <row r="100" spans="35:36" x14ac:dyDescent="0.25">
      <c r="AI100" s="38"/>
      <c r="AJ100" s="53"/>
    </row>
    <row r="101" spans="35:36" x14ac:dyDescent="0.25">
      <c r="AI101" s="38"/>
      <c r="AJ101" s="53"/>
    </row>
    <row r="102" spans="35:36" x14ac:dyDescent="0.25">
      <c r="AI102" s="38"/>
      <c r="AJ102" s="53"/>
    </row>
    <row r="103" spans="35:36" x14ac:dyDescent="0.25">
      <c r="AI103" s="38"/>
      <c r="AJ103" s="53"/>
    </row>
    <row r="104" spans="35:36" x14ac:dyDescent="0.25">
      <c r="AI104" s="38"/>
      <c r="AJ104" s="53"/>
    </row>
    <row r="105" spans="35:36" x14ac:dyDescent="0.25">
      <c r="AI105" s="38"/>
      <c r="AJ105" s="53"/>
    </row>
    <row r="106" spans="35:36" x14ac:dyDescent="0.25">
      <c r="AI106" s="38"/>
      <c r="AJ106" s="53"/>
    </row>
    <row r="107" spans="35:36" x14ac:dyDescent="0.25">
      <c r="AI107" s="38"/>
      <c r="AJ107" s="53"/>
    </row>
    <row r="108" spans="35:36" x14ac:dyDescent="0.25">
      <c r="AI108" s="38"/>
      <c r="AJ108" s="53"/>
    </row>
    <row r="109" spans="35:36" x14ac:dyDescent="0.25">
      <c r="AI109" s="38"/>
      <c r="AJ109" s="53"/>
    </row>
    <row r="110" spans="35:36" x14ac:dyDescent="0.25">
      <c r="AI110" s="38"/>
      <c r="AJ110" s="53"/>
    </row>
    <row r="111" spans="35:36" x14ac:dyDescent="0.25">
      <c r="AI111" s="38"/>
      <c r="AJ111" s="53"/>
    </row>
    <row r="112" spans="35:36" x14ac:dyDescent="0.25">
      <c r="AI112" s="38"/>
      <c r="AJ112" s="53"/>
    </row>
    <row r="113" spans="35:36" x14ac:dyDescent="0.25">
      <c r="AI113" s="38"/>
      <c r="AJ113" s="53"/>
    </row>
    <row r="114" spans="35:36" x14ac:dyDescent="0.25">
      <c r="AI114" s="38"/>
      <c r="AJ114" s="53"/>
    </row>
    <row r="115" spans="35:36" x14ac:dyDescent="0.25">
      <c r="AI115" s="38"/>
      <c r="AJ115" s="53"/>
    </row>
    <row r="116" spans="35:36" x14ac:dyDescent="0.25">
      <c r="AI116" s="38"/>
      <c r="AJ116" s="53"/>
    </row>
    <row r="117" spans="35:36" x14ac:dyDescent="0.25">
      <c r="AI117" s="38"/>
      <c r="AJ117" s="53"/>
    </row>
    <row r="118" spans="35:36" x14ac:dyDescent="0.25">
      <c r="AI118" s="38"/>
      <c r="AJ118" s="53"/>
    </row>
    <row r="119" spans="35:36" x14ac:dyDescent="0.25">
      <c r="AI119" s="38"/>
      <c r="AJ119" s="53"/>
    </row>
    <row r="120" spans="35:36" x14ac:dyDescent="0.25">
      <c r="AI120" s="38"/>
      <c r="AJ120" s="53"/>
    </row>
    <row r="121" spans="35:36" x14ac:dyDescent="0.25">
      <c r="AI121" s="38"/>
      <c r="AJ121" s="53"/>
    </row>
    <row r="122" spans="35:36" x14ac:dyDescent="0.25">
      <c r="AI122" s="38"/>
      <c r="AJ122" s="53"/>
    </row>
    <row r="123" spans="35:36" x14ac:dyDescent="0.25">
      <c r="AI123" s="38"/>
      <c r="AJ123" s="53"/>
    </row>
    <row r="124" spans="35:36" x14ac:dyDescent="0.25">
      <c r="AI124" s="38"/>
      <c r="AJ124" s="53"/>
    </row>
    <row r="125" spans="35:36" x14ac:dyDescent="0.25">
      <c r="AI125" s="38"/>
      <c r="AJ125" s="53"/>
    </row>
    <row r="126" spans="35:36" x14ac:dyDescent="0.25">
      <c r="AI126" s="38"/>
      <c r="AJ126" s="53"/>
    </row>
    <row r="127" spans="35:36" x14ac:dyDescent="0.25">
      <c r="AI127" s="38"/>
      <c r="AJ127" s="53"/>
    </row>
    <row r="128" spans="35:36" x14ac:dyDescent="0.25">
      <c r="AI128" s="38"/>
      <c r="AJ128" s="53"/>
    </row>
    <row r="129" spans="35:36" x14ac:dyDescent="0.25">
      <c r="AI129" s="38"/>
      <c r="AJ129" s="53"/>
    </row>
    <row r="130" spans="35:36" x14ac:dyDescent="0.25">
      <c r="AI130" s="38"/>
      <c r="AJ130" s="53"/>
    </row>
    <row r="131" spans="35:36" x14ac:dyDescent="0.25">
      <c r="AI131" s="38"/>
      <c r="AJ131" s="53"/>
    </row>
    <row r="132" spans="35:36" x14ac:dyDescent="0.25">
      <c r="AI132" s="38"/>
      <c r="AJ132" s="53"/>
    </row>
    <row r="133" spans="35:36" x14ac:dyDescent="0.25">
      <c r="AI133" s="38"/>
      <c r="AJ133" s="53"/>
    </row>
    <row r="134" spans="35:36" x14ac:dyDescent="0.25">
      <c r="AI134" s="38"/>
      <c r="AJ134" s="53"/>
    </row>
    <row r="135" spans="35:36" x14ac:dyDescent="0.25">
      <c r="AI135" s="38"/>
      <c r="AJ135" s="53"/>
    </row>
    <row r="136" spans="35:36" x14ac:dyDescent="0.25">
      <c r="AI136" s="38"/>
      <c r="AJ136" s="53"/>
    </row>
    <row r="137" spans="35:36" x14ac:dyDescent="0.25">
      <c r="AI137" s="38"/>
      <c r="AJ137" s="53"/>
    </row>
    <row r="138" spans="35:36" x14ac:dyDescent="0.25">
      <c r="AI138" s="38"/>
      <c r="AJ138" s="53"/>
    </row>
    <row r="139" spans="35:36" x14ac:dyDescent="0.25">
      <c r="AI139" s="38"/>
      <c r="AJ139" s="53"/>
    </row>
    <row r="140" spans="35:36" x14ac:dyDescent="0.25">
      <c r="AI140" s="38"/>
      <c r="AJ140" s="53"/>
    </row>
    <row r="141" spans="35:36" x14ac:dyDescent="0.25">
      <c r="AI141" s="38"/>
      <c r="AJ141" s="53"/>
    </row>
    <row r="142" spans="35:36" x14ac:dyDescent="0.25">
      <c r="AI142" s="38"/>
      <c r="AJ142" s="53"/>
    </row>
    <row r="143" spans="35:36" x14ac:dyDescent="0.25">
      <c r="AI143" s="38"/>
      <c r="AJ143" s="53"/>
    </row>
    <row r="144" spans="35:36" x14ac:dyDescent="0.25">
      <c r="AI144" s="38"/>
      <c r="AJ144" s="53"/>
    </row>
  </sheetData>
  <phoneticPr fontId="25" type="noConversion"/>
  <pageMargins left="0.7" right="0.7" top="0.75" bottom="0.75" header="0.3" footer="0.3"/>
  <pageSetup paperSize="9" orientation="portrait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PRI_Sector_Fuels</vt:lpstr>
      <vt:lpstr>DemTechs_INDF</vt:lpstr>
    </vt:vector>
  </TitlesOfParts>
  <Company>KanORS Consulting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dcterms:created xsi:type="dcterms:W3CDTF">2005-06-03T09:41:13Z</dcterms:created>
  <dcterms:modified xsi:type="dcterms:W3CDTF">2026-01-22T12:20:08Z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891491115093231</vt:r8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2025-10-11T16:06:34Z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f8b9e7a1-4aa7-4d95-b0b7-b2f09d7a5476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