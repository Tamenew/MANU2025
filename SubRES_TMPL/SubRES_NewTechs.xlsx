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77ECF40F-F9EA-4C77-AFCB-7248A511BBB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7" l="1"/>
  <c r="C35" i="7"/>
  <c r="C34" i="7"/>
  <c r="B34" i="7"/>
  <c r="D21" i="7"/>
  <c r="D19" i="7"/>
  <c r="C33" i="7"/>
  <c r="B33" i="7"/>
  <c r="B32" i="7"/>
  <c r="C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<sst xmlns="http://schemas.openxmlformats.org/spreadsheetml/2006/main" count="352" uniqueCount="163">
  <si>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</si>
  <si>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</si>
  <si>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</si>
  <si>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</si>
  <si>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</si>
  <si>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</si>
  <si>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</si>
  <si>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</si>
  <si>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</si>
  <si>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</si>
  <si>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</si>
  <si>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</si>
  <si>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</si>
  <si>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</si>
  <si>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</si>
  <si>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</si>
  <si>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</si>
  <si>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</si>
  <si>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</si>
  <si>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</si>
  <si>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</si>
  <si>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</si>
  <si>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</si>
  <si>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</si>
  <si>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</si>
  <si>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</si>
  <si>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</si>
  <si>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</si>
  <si>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</si>
  <si>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</si>
  <si>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</si>
  <si>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</si>
  <si>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</si>
  <si>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</si>
  <si>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</si>
  <si>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</si>
  <si>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</si>
  <si>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</si>
  <si>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</si>
  <si>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</si>
  <si>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</si>
  <si>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</si>
  <si>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</si>
  <si>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</si>
  <si>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</si>
  <si>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</si>
  <si>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</si>
  <si>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</si>
  <si>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</si>
  <si>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</si>
  <si>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</si>
  <si>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</si>
  <si>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</si>
  <si>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</si>
  <si>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</si>
  <si>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</si>
  <si>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</si>
  <si>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</si>
  <si>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</si>
  <si>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</si>
  <si>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</si>
  <si>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</si>
  <si>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</si>
  <si>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</si>
  <si>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</si>
  <si>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</si>
  <si>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</si>
  <si>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</si>
  <si>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</si>
  <si>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</si>
  <si>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</si>
  <si>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</si>
  <si>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</si>
  <si>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</si>
  <si>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</si>
  <si>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</si>
  <si>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</si>
  <si>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</si>
  <si>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</si>
  <si>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</si>
  <si>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</si>
  <si>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</si>
  <si>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</si>
  <si>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</si>
  <si>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</si>
  <si>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</si>
  <si>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</si>
  <si>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</si>
  <si>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</si>
  <si>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</si>
  <si>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</si>
  <si>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</si>
  <si>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</si>
  <si>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</si>
  <si>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</si>
  <si>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</si>
  <si>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</si>
  <si>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</si>
  <si>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</si>
  <si>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</si>
  <si>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</si>
  <si>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</si>
  <si>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</si>
  <si>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</si>
  <si>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</si>
  <si>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</si>
  <si>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</si>
  <si>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</si>
  <si>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</si>
  <si>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</si>
  <si>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</si>
  <si>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</si>
  <si>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</si>
  <si>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</si>
  <si>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</si>
  <si>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</si>
  <si>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</si>
  <si>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</si>
  <si>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</si>
  <si>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</si>
  <si>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</si>
  <si>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</si>
  <si>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</si>
  <si>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</si>
  <si>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</si>
  <si>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</si>
  <si>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</si>
  <si>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</si>
  <si>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</si>
  <si>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</si>
  <si>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</si>
  <si>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</si>
  <si>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</si>
  <si>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</si>
  <si>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</si>
  <si>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</si>
  <si>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</si>
  <si>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</si>
  <si>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</si>
  <si>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</si>
  <si>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</si>
  <si>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</si>
  <si>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</si>
  <si>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</si>
  <si>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</si>
  <si>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</si>
  <si>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</si>
  <si>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</si>
  <si>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</si>
  <si>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</si>
  <si>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</si>
  <si>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</si>
  <si>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</si>
  <si>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ELC_AGG</t>
  </si>
  <si>
    <t>Electricity aggrigator</t>
  </si>
  <si>
    <t>Bioheat and CSP heat aggrigator</t>
  </si>
  <si>
    <t>DECTHT</t>
  </si>
  <si>
    <t>BHEAT</t>
  </si>
  <si>
    <t>FHEAT</t>
  </si>
  <si>
    <t>Process heat using boiler</t>
  </si>
  <si>
    <t>Process heat using furnace</t>
  </si>
  <si>
    <t>ELCTHT</t>
  </si>
  <si>
    <t>MANHEAT using Electricity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</si>
</sst>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166" fontId="28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30" fillId="8" borderId="0" xfId="4" applyNumberFormat="1" applyFont="1" applyFill="1"/>
    <xf numFmtId="2" fontId="30" fillId="8" borderId="0" xfId="4" applyNumberFormat="1" applyFont="1" applyFill="1"/>
    <xf numFmtId="9" fontId="30" fillId="8" borderId="0" xfId="21" applyFont="1" applyFill="1"/>
    <xf numFmtId="9" fontId="28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abSelected="1" topLeftCell="P7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119</v>
      </c>
      <c r="Q8" s="37" t="s">
        <v>120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121</v>
      </c>
      <c r="Q19" s="1" t="s">
        <v>124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122</v>
      </c>
      <c r="Q20" s="14" t="s">
        <v>123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0"/>
  <sheetViews>
    <sheetView topLeftCell="A18" zoomScale="118" zoomScaleNormal="118" workbookViewId="0">
      <selection activeCell="C34" sqref="C34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4" width="16.21875" style="45" bestFit="1" customWidth="1"/>
    <col min="15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130</v>
      </c>
      <c r="Y5" s="72" t="s">
        <v>131</v>
      </c>
      <c r="Z5" s="72" t="s">
        <v>58</v>
      </c>
      <c r="AB5" s="72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129</v>
      </c>
      <c r="Y6" s="72" t="s">
        <v>132</v>
      </c>
      <c r="Z6" s="72" t="s">
        <v>58</v>
      </c>
      <c r="AB6" s="72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134</v>
      </c>
      <c r="Y7" s="45" t="s">
        <v>135</v>
      </c>
      <c r="Z7" s="72" t="s">
        <v>58</v>
      </c>
      <c r="AB7" s="72" t="s">
        <v>88</v>
      </c>
    </row>
    <row r="8" spans="2:51" x14ac:dyDescent="0.25">
      <c r="V8" s="50" t="s">
        <v>69</v>
      </c>
      <c r="W8" s="50"/>
      <c r="X8" s="50" t="s">
        <v>128</v>
      </c>
      <c r="Y8" s="50" t="s">
        <v>149</v>
      </c>
      <c r="Z8" s="72" t="s">
        <v>58</v>
      </c>
      <c r="AA8" s="50"/>
      <c r="AB8" s="72" t="s">
        <v>88</v>
      </c>
      <c r="AE8" s="46"/>
    </row>
    <row r="9" spans="2:51" x14ac:dyDescent="0.25">
      <c r="V9" s="50" t="s">
        <v>138</v>
      </c>
      <c r="W9" s="50"/>
      <c r="X9" s="50" t="s">
        <v>152</v>
      </c>
      <c r="Y9" s="50" t="s">
        <v>151</v>
      </c>
      <c r="Z9" s="72" t="s">
        <v>58</v>
      </c>
      <c r="AB9" s="72" t="s">
        <v>88</v>
      </c>
      <c r="AC9" s="50"/>
      <c r="AD9" s="50"/>
    </row>
    <row r="10" spans="2:51" x14ac:dyDescent="0.25">
      <c r="V10" s="45" t="s">
        <v>138</v>
      </c>
      <c r="X10" s="45" t="s">
        <v>157</v>
      </c>
      <c r="Y10" s="45" t="s">
        <v>159</v>
      </c>
      <c r="Z10" s="72" t="s">
        <v>58</v>
      </c>
      <c r="AB10" s="72" t="s">
        <v>88</v>
      </c>
    </row>
    <row r="11" spans="2:51" x14ac:dyDescent="0.25">
      <c r="V11" s="45" t="s">
        <v>138</v>
      </c>
      <c r="X11" s="45" t="s">
        <v>158</v>
      </c>
      <c r="Y11" s="45" t="s">
        <v>160</v>
      </c>
      <c r="Z11" s="72" t="s">
        <v>58</v>
      </c>
      <c r="AB11" s="72" t="s">
        <v>88</v>
      </c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114</v>
      </c>
      <c r="P16" s="59" t="s">
        <v>115</v>
      </c>
      <c r="Q16" s="59" t="s">
        <v>116</v>
      </c>
      <c r="R16" s="59" t="s">
        <v>117</v>
      </c>
      <c r="S16" s="59" t="s">
        <v>125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2" t="s">
        <v>85</v>
      </c>
      <c r="P17" s="32" t="s">
        <v>85</v>
      </c>
      <c r="Q17" s="32" t="s">
        <v>85</v>
      </c>
      <c r="R17" s="32" t="s">
        <v>85</v>
      </c>
      <c r="S17" s="70" t="s">
        <v>126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133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80" customFormat="1" x14ac:dyDescent="0.25">
      <c r="B19" s="80" t="str">
        <f>X19</f>
        <v>Furnace</v>
      </c>
      <c r="C19" s="80" t="s">
        <v>69</v>
      </c>
      <c r="D19" s="81" t="str">
        <f>X11</f>
        <v>FHEAT</v>
      </c>
      <c r="E19" s="109">
        <v>2030</v>
      </c>
      <c r="F19" s="110">
        <v>1</v>
      </c>
      <c r="G19" s="110">
        <v>1</v>
      </c>
      <c r="H19" s="109">
        <v>25</v>
      </c>
      <c r="I19" s="110">
        <v>81</v>
      </c>
      <c r="J19" s="110">
        <v>0</v>
      </c>
      <c r="K19" s="110">
        <v>0.24</v>
      </c>
      <c r="L19" s="110">
        <v>8.76</v>
      </c>
      <c r="M19" s="109"/>
      <c r="N19" s="110">
        <v>0.1</v>
      </c>
      <c r="O19" s="110">
        <v>0.15</v>
      </c>
      <c r="P19" s="110">
        <v>0.2</v>
      </c>
      <c r="Q19" s="110">
        <v>0.25</v>
      </c>
      <c r="R19" s="110">
        <v>0.3</v>
      </c>
      <c r="S19" s="109"/>
      <c r="T19" s="82"/>
      <c r="U19" s="82"/>
      <c r="V19" s="83" t="s">
        <v>138</v>
      </c>
      <c r="W19" s="83"/>
      <c r="X19" s="84" t="s">
        <v>66</v>
      </c>
      <c r="Y19" s="85" t="s">
        <v>139</v>
      </c>
      <c r="Z19" s="80" t="s">
        <v>58</v>
      </c>
      <c r="AA19" s="80" t="s">
        <v>87</v>
      </c>
      <c r="AB19" s="86" t="s">
        <v>88</v>
      </c>
      <c r="AC19" s="82"/>
      <c r="AD19" s="82"/>
      <c r="AI19" s="87"/>
      <c r="AJ19" s="88"/>
      <c r="AY19" s="82"/>
    </row>
    <row r="20" spans="2:51" s="72" customFormat="1" x14ac:dyDescent="0.25">
      <c r="B20" s="72" t="str">
        <f>X$20</f>
        <v>BIOBoiler</v>
      </c>
      <c r="C20" s="72" t="str">
        <f>PRI_Sector_Fuels!P5</f>
        <v>MANBIOMIN</v>
      </c>
      <c r="D20" s="78" t="str">
        <f>X9</f>
        <v>DECRHEAT</v>
      </c>
      <c r="E20" s="111">
        <v>2030</v>
      </c>
      <c r="F20" s="112">
        <v>0.7</v>
      </c>
      <c r="G20" s="112">
        <v>0.98</v>
      </c>
      <c r="H20" s="111">
        <v>25</v>
      </c>
      <c r="I20" s="112">
        <v>797.9</v>
      </c>
      <c r="J20" s="112">
        <v>48.48</v>
      </c>
      <c r="K20" s="112">
        <v>3.75</v>
      </c>
      <c r="L20" s="112">
        <v>8.76</v>
      </c>
      <c r="M20" s="111"/>
      <c r="N20" s="113"/>
      <c r="O20" s="111"/>
      <c r="P20" s="111"/>
      <c r="Q20" s="111"/>
      <c r="R20" s="111"/>
      <c r="S20" s="111"/>
      <c r="T20" s="89"/>
      <c r="U20" s="89"/>
      <c r="V20" s="79" t="s">
        <v>138</v>
      </c>
      <c r="W20" s="79"/>
      <c r="X20" s="90" t="s">
        <v>94</v>
      </c>
      <c r="Y20" s="91" t="s">
        <v>140</v>
      </c>
      <c r="Z20" s="72" t="s">
        <v>58</v>
      </c>
      <c r="AA20" s="72" t="s">
        <v>87</v>
      </c>
      <c r="AB20" s="92" t="s">
        <v>88</v>
      </c>
      <c r="AC20" s="89"/>
      <c r="AD20" s="89"/>
      <c r="AI20" s="14"/>
      <c r="AJ20" s="12"/>
      <c r="AY20" s="89"/>
    </row>
    <row r="21" spans="2:51" s="80" customFormat="1" x14ac:dyDescent="0.25">
      <c r="B21" s="80" t="str">
        <f>X23</f>
        <v>ELCBoiler</v>
      </c>
      <c r="C21" s="80" t="s">
        <v>69</v>
      </c>
      <c r="D21" s="81" t="str">
        <f>X10</f>
        <v>BHEAT</v>
      </c>
      <c r="E21" s="109">
        <v>2030</v>
      </c>
      <c r="F21" s="110">
        <v>0.99</v>
      </c>
      <c r="G21" s="110">
        <v>1</v>
      </c>
      <c r="H21" s="109">
        <v>25</v>
      </c>
      <c r="I21" s="110">
        <v>112.9</v>
      </c>
      <c r="J21" s="110">
        <v>14.26</v>
      </c>
      <c r="K21" s="110">
        <v>1.22</v>
      </c>
      <c r="L21" s="110">
        <v>8.76</v>
      </c>
      <c r="M21" s="109"/>
      <c r="N21" s="114"/>
      <c r="O21" s="114"/>
      <c r="P21" s="114"/>
      <c r="Q21" s="114"/>
      <c r="R21" s="114"/>
      <c r="S21" s="109"/>
      <c r="T21" s="82"/>
      <c r="U21" s="82"/>
      <c r="V21" s="83" t="s">
        <v>127</v>
      </c>
      <c r="W21" s="83"/>
      <c r="X21" s="84" t="s">
        <v>95</v>
      </c>
      <c r="Y21" s="85" t="s">
        <v>141</v>
      </c>
      <c r="Z21" s="80" t="s">
        <v>58</v>
      </c>
      <c r="AA21" s="80" t="s">
        <v>87</v>
      </c>
      <c r="AB21" s="86" t="s">
        <v>88</v>
      </c>
      <c r="AC21" s="82"/>
      <c r="AD21" s="82"/>
      <c r="AI21" s="87"/>
      <c r="AJ21" s="88"/>
      <c r="AY21" s="82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115">
        <v>2030</v>
      </c>
      <c r="F22" s="116">
        <v>0.55600000000000005</v>
      </c>
      <c r="G22" s="116">
        <v>0.98</v>
      </c>
      <c r="H22" s="115">
        <v>25</v>
      </c>
      <c r="I22" s="116">
        <v>297.10000000000002</v>
      </c>
      <c r="J22" s="116">
        <v>4.46</v>
      </c>
      <c r="K22" s="116">
        <v>0.45</v>
      </c>
      <c r="L22" s="116">
        <v>8.76</v>
      </c>
      <c r="M22" s="115"/>
      <c r="N22" s="116">
        <v>0.1</v>
      </c>
      <c r="O22" s="116">
        <v>0.15</v>
      </c>
      <c r="P22" s="116">
        <v>0.2</v>
      </c>
      <c r="Q22" s="116">
        <v>0.25</v>
      </c>
      <c r="R22" s="116">
        <v>0.3</v>
      </c>
      <c r="S22" s="115"/>
      <c r="V22" s="60" t="s">
        <v>127</v>
      </c>
      <c r="W22" s="60"/>
      <c r="X22" s="61" t="s">
        <v>96</v>
      </c>
      <c r="Y22" s="62" t="s">
        <v>142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115">
        <v>2030</v>
      </c>
      <c r="F23" s="116">
        <v>0.75</v>
      </c>
      <c r="G23" s="116">
        <v>0.99</v>
      </c>
      <c r="H23" s="115">
        <v>25</v>
      </c>
      <c r="I23" s="116">
        <v>61.4</v>
      </c>
      <c r="J23" s="116">
        <v>2.57</v>
      </c>
      <c r="K23" s="116">
        <v>1.35</v>
      </c>
      <c r="L23" s="116">
        <v>8.76</v>
      </c>
      <c r="M23" s="115"/>
      <c r="N23" s="117"/>
      <c r="O23" s="115"/>
      <c r="P23" s="115"/>
      <c r="Q23" s="115"/>
      <c r="R23" s="115"/>
      <c r="S23" s="115"/>
      <c r="V23" s="60" t="s">
        <v>138</v>
      </c>
      <c r="W23" s="60"/>
      <c r="X23" s="61" t="s">
        <v>97</v>
      </c>
      <c r="Y23" s="62" t="s">
        <v>143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129</v>
      </c>
      <c r="E24" s="115">
        <v>2030</v>
      </c>
      <c r="F24" s="112">
        <v>1</v>
      </c>
      <c r="G24" s="116">
        <v>0.97</v>
      </c>
      <c r="H24" s="115">
        <v>25</v>
      </c>
      <c r="I24" s="116">
        <v>1041</v>
      </c>
      <c r="J24" s="116">
        <v>38</v>
      </c>
      <c r="K24" s="116">
        <v>0</v>
      </c>
      <c r="L24" s="116">
        <v>8.76</v>
      </c>
      <c r="M24" s="117"/>
      <c r="N24" s="117"/>
      <c r="O24" s="116"/>
      <c r="P24" s="116"/>
      <c r="Q24" s="116"/>
      <c r="R24" s="117"/>
      <c r="S24" s="115">
        <v>0.2</v>
      </c>
      <c r="V24" s="60" t="s">
        <v>138</v>
      </c>
      <c r="W24" s="60"/>
      <c r="X24" s="61" t="s">
        <v>65</v>
      </c>
      <c r="Y24" s="62" t="s">
        <v>144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130</v>
      </c>
      <c r="E25" s="115">
        <v>2030</v>
      </c>
      <c r="F25" s="112">
        <v>0.20499999999999999</v>
      </c>
      <c r="G25" s="116">
        <v>0.99</v>
      </c>
      <c r="H25" s="115">
        <v>25</v>
      </c>
      <c r="I25" s="116">
        <v>691</v>
      </c>
      <c r="J25" s="116">
        <v>6.99</v>
      </c>
      <c r="K25" s="116">
        <v>0</v>
      </c>
      <c r="L25" s="116">
        <v>8.76</v>
      </c>
      <c r="M25" s="117"/>
      <c r="N25" s="117"/>
      <c r="O25" s="116"/>
      <c r="P25" s="116"/>
      <c r="Q25" s="116"/>
      <c r="R25" s="117"/>
      <c r="S25" s="115">
        <v>0.3</v>
      </c>
      <c r="V25" s="60" t="s">
        <v>69</v>
      </c>
      <c r="W25" s="60"/>
      <c r="X25" s="61" t="s">
        <v>89</v>
      </c>
      <c r="Y25" s="62" t="s">
        <v>145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9" customFormat="1" x14ac:dyDescent="0.25">
      <c r="B26" s="78" t="str">
        <f>X24</f>
        <v>CSP</v>
      </c>
      <c r="C26" s="72" t="str">
        <f>PRI_Sector_Fuels!D20</f>
        <v>SOLAR</v>
      </c>
      <c r="D26" s="78" t="str">
        <f>X9</f>
        <v>DECRHEAT</v>
      </c>
      <c r="E26" s="111">
        <v>2030</v>
      </c>
      <c r="F26" s="112">
        <v>0.4</v>
      </c>
      <c r="G26" s="112">
        <v>1</v>
      </c>
      <c r="H26" s="111">
        <v>25</v>
      </c>
      <c r="I26" s="112">
        <v>3677</v>
      </c>
      <c r="J26" s="112">
        <v>0</v>
      </c>
      <c r="K26" s="112">
        <v>14</v>
      </c>
      <c r="L26" s="112">
        <v>8.76</v>
      </c>
      <c r="M26" s="113"/>
      <c r="N26" s="113"/>
      <c r="O26" s="112"/>
      <c r="P26" s="112"/>
      <c r="Q26" s="112"/>
      <c r="R26" s="113"/>
      <c r="S26" s="111"/>
      <c r="V26" s="79" t="s">
        <v>69</v>
      </c>
      <c r="W26" s="79"/>
      <c r="X26" s="90" t="s">
        <v>90</v>
      </c>
      <c r="Y26" s="91" t="s">
        <v>146</v>
      </c>
      <c r="Z26" s="72" t="s">
        <v>58</v>
      </c>
      <c r="AA26" s="72" t="s">
        <v>87</v>
      </c>
      <c r="AB26" s="89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115">
        <v>2030</v>
      </c>
      <c r="F27" s="112">
        <v>0.3</v>
      </c>
      <c r="G27" s="116">
        <v>1</v>
      </c>
      <c r="H27" s="115">
        <v>25</v>
      </c>
      <c r="I27" s="116">
        <v>0</v>
      </c>
      <c r="J27" s="116">
        <v>0</v>
      </c>
      <c r="K27" s="116">
        <v>0</v>
      </c>
      <c r="L27" s="116">
        <v>8.76</v>
      </c>
      <c r="M27" s="117"/>
      <c r="N27" s="117"/>
      <c r="O27" s="116"/>
      <c r="P27" s="116"/>
      <c r="Q27" s="116"/>
      <c r="R27" s="117"/>
      <c r="S27" s="115"/>
      <c r="V27" s="60" t="s">
        <v>69</v>
      </c>
      <c r="W27" s="60"/>
      <c r="X27" s="61" t="s">
        <v>150</v>
      </c>
      <c r="Y27" s="62" t="s">
        <v>147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4" customFormat="1" x14ac:dyDescent="0.25">
      <c r="B28" s="93" t="str">
        <f>X27</f>
        <v>DECPOWER</v>
      </c>
      <c r="C28" s="93" t="s">
        <v>129</v>
      </c>
      <c r="D28" s="93" t="str">
        <f>X8</f>
        <v>DECELC</v>
      </c>
      <c r="E28" s="118">
        <v>2030</v>
      </c>
      <c r="F28" s="119">
        <v>1</v>
      </c>
      <c r="G28" s="119">
        <v>1</v>
      </c>
      <c r="H28" s="118">
        <v>100</v>
      </c>
      <c r="I28" s="120">
        <v>0</v>
      </c>
      <c r="J28" s="119">
        <v>0</v>
      </c>
      <c r="K28" s="119">
        <v>0</v>
      </c>
      <c r="L28" s="120">
        <v>8.76</v>
      </c>
      <c r="M28" s="121"/>
      <c r="N28" s="121"/>
      <c r="O28" s="120"/>
      <c r="P28" s="120"/>
      <c r="Q28" s="120"/>
      <c r="R28" s="121"/>
      <c r="S28" s="118"/>
      <c r="V28" s="96" t="s">
        <v>69</v>
      </c>
      <c r="W28" s="96"/>
      <c r="X28" s="97" t="s">
        <v>136</v>
      </c>
      <c r="Y28" s="98" t="s">
        <v>148</v>
      </c>
      <c r="Z28" s="95" t="s">
        <v>58</v>
      </c>
      <c r="AA28" s="45" t="s">
        <v>87</v>
      </c>
      <c r="AB28" s="46" t="s">
        <v>88</v>
      </c>
      <c r="AI28" s="99"/>
      <c r="AJ28" s="99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</row>
    <row r="29" spans="2:51" s="94" customFormat="1" x14ac:dyDescent="0.25">
      <c r="B29" s="93" t="str">
        <f>X27</f>
        <v>DECPOWER</v>
      </c>
      <c r="C29" s="93" t="s">
        <v>130</v>
      </c>
      <c r="D29" s="93" t="str">
        <f>X8</f>
        <v>DECELC</v>
      </c>
      <c r="E29" s="118">
        <v>2030</v>
      </c>
      <c r="F29" s="119">
        <v>1</v>
      </c>
      <c r="G29" s="119">
        <v>1</v>
      </c>
      <c r="H29" s="118">
        <v>100</v>
      </c>
      <c r="I29" s="120">
        <v>0</v>
      </c>
      <c r="J29" s="119">
        <v>0</v>
      </c>
      <c r="K29" s="119">
        <v>0</v>
      </c>
      <c r="L29" s="120">
        <v>8.76</v>
      </c>
      <c r="M29" s="121"/>
      <c r="N29" s="121"/>
      <c r="O29" s="120"/>
      <c r="P29" s="120"/>
      <c r="Q29" s="120"/>
      <c r="R29" s="121"/>
      <c r="S29" s="118"/>
      <c r="V29" s="94" t="s">
        <v>69</v>
      </c>
      <c r="X29" s="94" t="s">
        <v>153</v>
      </c>
      <c r="Y29" s="94" t="s">
        <v>154</v>
      </c>
      <c r="Z29" s="95" t="s">
        <v>58</v>
      </c>
      <c r="AA29" s="95" t="s">
        <v>87</v>
      </c>
      <c r="AB29" s="94" t="s">
        <v>88</v>
      </c>
      <c r="AC29" s="46"/>
      <c r="AI29" s="99"/>
      <c r="AJ29" s="99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134</v>
      </c>
      <c r="E30" s="115">
        <v>2030</v>
      </c>
      <c r="F30" s="122">
        <v>0.35</v>
      </c>
      <c r="G30" s="122">
        <v>0.98</v>
      </c>
      <c r="H30" s="115">
        <v>20</v>
      </c>
      <c r="I30" s="123">
        <v>3242</v>
      </c>
      <c r="J30" s="116">
        <v>129.68</v>
      </c>
      <c r="K30" s="116">
        <v>0</v>
      </c>
      <c r="L30" s="116">
        <v>8.76</v>
      </c>
      <c r="M30" s="117"/>
      <c r="N30" s="117"/>
      <c r="O30" s="116"/>
      <c r="P30" s="116"/>
      <c r="Q30" s="116"/>
      <c r="R30" s="117"/>
      <c r="S30" s="115"/>
      <c r="V30" s="46" t="s">
        <v>127</v>
      </c>
      <c r="X30" s="46" t="s">
        <v>156</v>
      </c>
      <c r="Y30" s="46" t="s">
        <v>155</v>
      </c>
      <c r="Z30" s="95" t="s">
        <v>58</v>
      </c>
      <c r="AA30" s="95" t="s">
        <v>87</v>
      </c>
      <c r="AB30" s="94" t="s">
        <v>88</v>
      </c>
      <c r="AC30" s="9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94" customFormat="1" x14ac:dyDescent="0.25">
      <c r="B31" s="50" t="str">
        <f>X27</f>
        <v>DECPOWER</v>
      </c>
      <c r="C31" s="95" t="s">
        <v>134</v>
      </c>
      <c r="D31" s="93" t="str">
        <f>X8</f>
        <v>DECELC</v>
      </c>
      <c r="E31" s="118">
        <v>2030</v>
      </c>
      <c r="F31" s="120">
        <v>1</v>
      </c>
      <c r="G31" s="120">
        <v>1</v>
      </c>
      <c r="H31" s="119">
        <v>100</v>
      </c>
      <c r="I31" s="119">
        <v>0</v>
      </c>
      <c r="J31" s="119">
        <v>0</v>
      </c>
      <c r="K31" s="119">
        <v>0</v>
      </c>
      <c r="L31" s="119">
        <v>0</v>
      </c>
      <c r="M31" s="121"/>
      <c r="N31" s="121"/>
      <c r="O31" s="120"/>
      <c r="P31" s="120"/>
      <c r="Q31" s="120"/>
      <c r="R31" s="121"/>
      <c r="S31" s="118"/>
      <c r="V31" s="46" t="s">
        <v>127</v>
      </c>
      <c r="W31" s="46"/>
      <c r="X31" s="46" t="s">
        <v>161</v>
      </c>
      <c r="Y31" s="46" t="s">
        <v>162</v>
      </c>
      <c r="Z31" s="95" t="s">
        <v>58</v>
      </c>
      <c r="AA31" s="95" t="s">
        <v>87</v>
      </c>
      <c r="AB31" s="94" t="s">
        <v>88</v>
      </c>
      <c r="AD31" s="46"/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94" customFormat="1" x14ac:dyDescent="0.25">
      <c r="B32" s="50" t="str">
        <f>X29</f>
        <v>ELC_AGG</v>
      </c>
      <c r="C32" s="93" t="str">
        <f>X8</f>
        <v>DECELC</v>
      </c>
      <c r="D32" s="93" t="s">
        <v>69</v>
      </c>
      <c r="E32" s="118">
        <v>2030</v>
      </c>
      <c r="F32" s="120">
        <v>1</v>
      </c>
      <c r="G32" s="120">
        <v>1</v>
      </c>
      <c r="H32" s="119">
        <v>100</v>
      </c>
      <c r="I32" s="119">
        <v>0</v>
      </c>
      <c r="J32" s="119">
        <v>0</v>
      </c>
      <c r="K32" s="119">
        <v>0</v>
      </c>
      <c r="L32" s="119">
        <v>0</v>
      </c>
      <c r="M32" s="121"/>
      <c r="N32" s="121"/>
      <c r="O32" s="120"/>
      <c r="P32" s="120"/>
      <c r="Q32" s="120"/>
      <c r="R32" s="121"/>
      <c r="S32" s="118"/>
      <c r="AD32" s="46"/>
      <c r="AI32" s="99"/>
      <c r="AJ32" s="99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</row>
    <row r="33" spans="1:49" s="94" customFormat="1" x14ac:dyDescent="0.25">
      <c r="B33" s="93" t="str">
        <f>X30</f>
        <v>DECTHT</v>
      </c>
      <c r="C33" s="93" t="str">
        <f>X9</f>
        <v>DECRHEAT</v>
      </c>
      <c r="D33" s="93" t="s">
        <v>107</v>
      </c>
      <c r="E33" s="118">
        <v>2030</v>
      </c>
      <c r="F33" s="120">
        <v>1</v>
      </c>
      <c r="G33" s="120">
        <v>1</v>
      </c>
      <c r="H33" s="119">
        <v>100</v>
      </c>
      <c r="I33" s="119">
        <v>0</v>
      </c>
      <c r="J33" s="119">
        <v>0</v>
      </c>
      <c r="K33" s="119">
        <v>0</v>
      </c>
      <c r="L33" s="119">
        <v>0</v>
      </c>
      <c r="M33" s="121"/>
      <c r="N33" s="121"/>
      <c r="O33" s="120"/>
      <c r="P33" s="120"/>
      <c r="Q33" s="120"/>
      <c r="R33" s="121"/>
      <c r="S33" s="118"/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 t="str">
        <f>X31</f>
        <v>ELCTHT</v>
      </c>
      <c r="C34" s="95" t="str">
        <f>X10</f>
        <v>BHEAT</v>
      </c>
      <c r="D34" s="93" t="s">
        <v>107</v>
      </c>
      <c r="E34" s="118">
        <v>2030</v>
      </c>
      <c r="F34" s="120">
        <v>1</v>
      </c>
      <c r="G34" s="120">
        <v>1</v>
      </c>
      <c r="H34" s="119">
        <v>100</v>
      </c>
      <c r="I34" s="119">
        <v>0</v>
      </c>
      <c r="J34" s="119">
        <v>0</v>
      </c>
      <c r="K34" s="119">
        <v>0</v>
      </c>
      <c r="L34" s="119">
        <v>0</v>
      </c>
      <c r="M34" s="121"/>
      <c r="N34" s="121"/>
      <c r="O34" s="120"/>
      <c r="P34" s="120"/>
      <c r="Q34" s="120"/>
      <c r="R34" s="121"/>
      <c r="S34" s="118"/>
      <c r="AD34" s="46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93" t="str">
        <f>X31</f>
        <v>ELCTHT</v>
      </c>
      <c r="C35" s="95" t="str">
        <f>X11</f>
        <v>FHEAT</v>
      </c>
      <c r="D35" s="93" t="s">
        <v>107</v>
      </c>
      <c r="E35" s="118">
        <v>2030</v>
      </c>
      <c r="F35" s="120">
        <v>1</v>
      </c>
      <c r="G35" s="120">
        <v>1</v>
      </c>
      <c r="H35" s="119">
        <v>100</v>
      </c>
      <c r="I35" s="119">
        <v>0</v>
      </c>
      <c r="J35" s="119">
        <v>0</v>
      </c>
      <c r="K35" s="119">
        <v>0</v>
      </c>
      <c r="L35" s="119">
        <v>0</v>
      </c>
      <c r="M35" s="121"/>
      <c r="N35" s="121"/>
      <c r="O35" s="120"/>
      <c r="P35" s="120"/>
      <c r="Q35" s="120"/>
      <c r="R35" s="121"/>
      <c r="S35" s="118"/>
      <c r="AD35" s="95"/>
      <c r="AI35" s="99"/>
      <c r="AJ35" s="99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</row>
    <row r="36" spans="1:49" s="94" customFormat="1" x14ac:dyDescent="0.25">
      <c r="B36" s="93"/>
      <c r="C36" s="93"/>
      <c r="D36" s="93"/>
      <c r="E36" s="124"/>
      <c r="F36" s="125"/>
      <c r="G36" s="125"/>
      <c r="M36" s="126"/>
      <c r="N36" s="126"/>
      <c r="O36" s="125"/>
      <c r="P36" s="125"/>
      <c r="Q36" s="125"/>
      <c r="R36" s="126"/>
      <c r="S36" s="124"/>
      <c r="AA36" s="38"/>
      <c r="AB36" s="38"/>
      <c r="AC36" s="95"/>
      <c r="AD36" s="95"/>
      <c r="AI36" s="99"/>
      <c r="AJ36" s="99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</row>
    <row r="37" spans="1:49" s="94" customFormat="1" x14ac:dyDescent="0.25">
      <c r="B37" s="93"/>
      <c r="C37" s="93"/>
      <c r="D37" s="93"/>
      <c r="E37" s="124"/>
      <c r="F37" s="125"/>
      <c r="G37" s="125"/>
      <c r="H37" s="124"/>
      <c r="I37" s="125"/>
      <c r="J37" s="125"/>
      <c r="K37" s="125"/>
      <c r="L37" s="125"/>
      <c r="M37" s="126"/>
      <c r="N37" s="126"/>
      <c r="O37" s="125"/>
      <c r="P37" s="125"/>
      <c r="Q37" s="125"/>
      <c r="R37" s="126"/>
      <c r="S37" s="124"/>
      <c r="V37" s="45"/>
      <c r="W37" s="45"/>
      <c r="X37" s="45"/>
      <c r="Y37" s="45"/>
      <c r="Z37" s="50"/>
      <c r="AA37" s="102"/>
      <c r="AB37" s="104"/>
      <c r="AC37" s="45"/>
      <c r="AD37" s="45"/>
      <c r="AI37" s="99"/>
      <c r="AJ37" s="99"/>
      <c r="AK37" s="107"/>
      <c r="AL37" s="107"/>
      <c r="AM37" s="95"/>
      <c r="AN37" s="95"/>
      <c r="AO37" s="95"/>
      <c r="AQ37" s="99"/>
      <c r="AR37" s="99"/>
      <c r="AS37" s="107"/>
      <c r="AT37" s="107"/>
      <c r="AU37" s="95"/>
      <c r="AV37" s="95"/>
    </row>
    <row r="38" spans="1:49" s="46" customFormat="1" x14ac:dyDescent="0.25">
      <c r="B38" s="5"/>
      <c r="C38" s="50"/>
      <c r="D38" s="50"/>
      <c r="E38" s="127"/>
      <c r="F38" s="128"/>
      <c r="G38" s="129"/>
      <c r="M38" s="127"/>
      <c r="N38" s="130"/>
      <c r="O38" s="127"/>
      <c r="P38" s="127"/>
      <c r="Q38" s="127"/>
      <c r="R38" s="127"/>
      <c r="S38" s="127"/>
      <c r="V38" s="101"/>
      <c r="W38" s="100"/>
      <c r="X38" s="101"/>
      <c r="Y38" s="100"/>
      <c r="Z38" s="103"/>
      <c r="AA38" s="95"/>
      <c r="AB38" s="94"/>
      <c r="AC38" s="94"/>
      <c r="AD38" s="101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9" s="100" customFormat="1" x14ac:dyDescent="0.25">
      <c r="B39" s="101"/>
      <c r="C39" s="102"/>
      <c r="D39" s="102"/>
      <c r="E39" s="131"/>
      <c r="F39" s="132"/>
      <c r="G39" s="132"/>
      <c r="H39" s="131"/>
      <c r="I39" s="132"/>
      <c r="J39" s="132"/>
      <c r="K39" s="132"/>
      <c r="L39" s="132"/>
      <c r="N39" s="133"/>
      <c r="V39" s="46"/>
      <c r="W39" s="46"/>
      <c r="X39" s="46"/>
      <c r="Y39" s="46"/>
      <c r="Z39" s="95"/>
      <c r="AA39" s="95"/>
      <c r="AB39" s="94"/>
      <c r="AC39" s="46"/>
      <c r="AD39" s="95"/>
      <c r="AI39" s="105"/>
      <c r="AJ39" s="105"/>
      <c r="AK39" s="106"/>
      <c r="AL39" s="106"/>
      <c r="AM39" s="101"/>
      <c r="AN39" s="101"/>
      <c r="AO39" s="101"/>
      <c r="AQ39" s="105"/>
      <c r="AR39" s="105"/>
      <c r="AS39" s="106"/>
      <c r="AT39" s="106"/>
      <c r="AU39" s="101"/>
      <c r="AV39" s="101"/>
    </row>
    <row r="40" spans="1:49" s="94" customFormat="1" x14ac:dyDescent="0.25">
      <c r="B40" s="95"/>
      <c r="C40" s="93"/>
      <c r="D40" s="93"/>
      <c r="E40" s="124"/>
      <c r="F40" s="125"/>
      <c r="G40" s="125"/>
      <c r="H40" s="124"/>
      <c r="I40" s="125"/>
      <c r="J40" s="125"/>
      <c r="K40" s="125"/>
      <c r="L40" s="125"/>
      <c r="N40" s="134"/>
      <c r="V40" s="45"/>
      <c r="W40" s="45"/>
      <c r="X40" s="45"/>
      <c r="Y40" s="45"/>
      <c r="Z40" s="95"/>
      <c r="AA40" s="95"/>
      <c r="AC40" s="95"/>
      <c r="AD40" s="45"/>
      <c r="AI40" s="99"/>
      <c r="AJ40" s="99"/>
      <c r="AK40" s="107"/>
      <c r="AL40" s="107"/>
      <c r="AM40" s="95"/>
      <c r="AN40" s="95"/>
      <c r="AO40" s="95"/>
      <c r="AQ40" s="99"/>
      <c r="AR40" s="99"/>
      <c r="AS40" s="107"/>
      <c r="AT40" s="107"/>
      <c r="AU40" s="95"/>
      <c r="AV40" s="95"/>
    </row>
    <row r="41" spans="1:49" s="46" customFormat="1" x14ac:dyDescent="0.25">
      <c r="B41" s="45"/>
      <c r="C41" s="50"/>
      <c r="D41" s="50"/>
      <c r="E41" s="127"/>
      <c r="F41" s="128"/>
      <c r="G41" s="129"/>
      <c r="N41" s="135"/>
      <c r="V41" s="99"/>
      <c r="W41" s="99"/>
      <c r="X41" s="95"/>
      <c r="Y41" s="108"/>
      <c r="Z41" s="95"/>
      <c r="AA41" s="95"/>
      <c r="AB41" s="94"/>
      <c r="AC41" s="95"/>
      <c r="AD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27"/>
      <c r="F42" s="128"/>
      <c r="G42" s="129"/>
      <c r="V42" s="99"/>
      <c r="W42" s="99"/>
      <c r="X42" s="95"/>
      <c r="Y42" s="108"/>
      <c r="Z42" s="95"/>
      <c r="AA42" s="95"/>
      <c r="AB42" s="94"/>
      <c r="AC42" s="9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s="46" customFormat="1" x14ac:dyDescent="0.25">
      <c r="B43" s="50"/>
      <c r="C43" s="50"/>
      <c r="D43" s="50"/>
      <c r="E43" s="127"/>
      <c r="F43" s="128"/>
      <c r="G43" s="129"/>
      <c r="V43" s="99"/>
      <c r="W43" s="99"/>
      <c r="X43" s="95"/>
      <c r="Y43" s="108"/>
      <c r="Z43" s="95"/>
      <c r="AA43" s="95"/>
      <c r="AB43" s="94"/>
      <c r="AC43" s="95"/>
      <c r="AD43" s="45"/>
      <c r="AE43" s="45"/>
      <c r="AI43"/>
      <c r="AJ43"/>
      <c r="AK43" s="39"/>
      <c r="AL43" s="39"/>
      <c r="AM43" s="45"/>
      <c r="AN43" s="45"/>
      <c r="AO43" s="45"/>
      <c r="AQ43"/>
      <c r="AR43"/>
      <c r="AS43" s="39"/>
      <c r="AT43" s="39"/>
      <c r="AU43" s="45"/>
      <c r="AV43" s="45"/>
    </row>
    <row r="44" spans="1:49" x14ac:dyDescent="0.25">
      <c r="A44" s="46"/>
      <c r="E44" s="46"/>
      <c r="F44" s="136"/>
      <c r="G44" s="127"/>
      <c r="H44" s="13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V44" s="99"/>
      <c r="W44" s="99"/>
      <c r="X44" s="107"/>
      <c r="Y44" s="108"/>
      <c r="Z44" s="95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A45" s="46"/>
      <c r="H45" s="64"/>
      <c r="M45" s="46"/>
      <c r="N45" s="46"/>
      <c r="O45" s="46"/>
      <c r="P45" s="46"/>
      <c r="Q45" s="46"/>
      <c r="R45" s="46"/>
      <c r="S45" s="46"/>
      <c r="AI45"/>
      <c r="AJ45"/>
      <c r="AK45" s="39"/>
      <c r="AL45" s="39"/>
      <c r="AP45" s="46"/>
      <c r="AQ45"/>
      <c r="AR45"/>
      <c r="AS45" s="39"/>
      <c r="AT45" s="39"/>
    </row>
    <row r="46" spans="1:49" x14ac:dyDescent="0.25">
      <c r="B46" s="65"/>
      <c r="C46" s="45" t="s">
        <v>82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B47" s="66"/>
      <c r="C47" s="45" t="s">
        <v>83</v>
      </c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H48" s="64"/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E51" s="43"/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AI57"/>
      <c r="AJ57"/>
      <c r="AK57" s="39"/>
      <c r="AL57" s="39"/>
      <c r="AQ57"/>
      <c r="AR57"/>
      <c r="AS57" s="39"/>
      <c r="AT57" s="39"/>
    </row>
    <row r="58" spans="2:46" x14ac:dyDescent="0.25">
      <c r="B58" s="68"/>
      <c r="C58" s="68"/>
      <c r="D58"/>
      <c r="E58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ht="13.8" thickBot="1" x14ac:dyDescent="0.3"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/>
      <c r="C67"/>
      <c r="D67"/>
      <c r="E67" s="1"/>
      <c r="F67"/>
      <c r="G67"/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I69"/>
      <c r="AJ69"/>
      <c r="AK69" s="39"/>
      <c r="AL69" s="39"/>
      <c r="AQ69"/>
      <c r="AR69"/>
      <c r="AS69" s="39"/>
      <c r="AT69" s="39"/>
    </row>
    <row r="70" spans="1:48" x14ac:dyDescent="0.25">
      <c r="V70" s="46"/>
      <c r="W70" s="46"/>
      <c r="X70" s="46"/>
      <c r="Y70" s="46"/>
      <c r="Z70" s="46"/>
      <c r="AA70" s="46"/>
      <c r="AB70" s="46"/>
      <c r="AC70" s="46"/>
      <c r="AI70"/>
      <c r="AJ70"/>
      <c r="AK70" s="39"/>
      <c r="AL70" s="39"/>
      <c r="AQ70"/>
      <c r="AR70"/>
      <c r="AS70" s="39"/>
      <c r="AT70" s="39"/>
    </row>
    <row r="71" spans="1:48" x14ac:dyDescent="0.25">
      <c r="V71" s="46"/>
      <c r="W71" s="46"/>
      <c r="X71" s="46"/>
      <c r="Y71" s="46"/>
      <c r="Z71" s="46"/>
      <c r="AA71" s="46"/>
      <c r="AB71" s="46"/>
      <c r="AC71" s="46"/>
      <c r="AD71" s="46"/>
      <c r="AI71"/>
      <c r="AJ71"/>
      <c r="AK71" s="39"/>
      <c r="AL71" s="39"/>
      <c r="AQ71"/>
      <c r="AR71"/>
      <c r="AS71" s="39"/>
      <c r="AT71" s="39"/>
    </row>
    <row r="72" spans="1:48" x14ac:dyDescent="0.25">
      <c r="AC72" s="46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x14ac:dyDescent="0.25">
      <c r="B73"/>
      <c r="C73"/>
      <c r="E73" s="68"/>
      <c r="F73" s="68"/>
      <c r="G73" s="1"/>
      <c r="H73"/>
      <c r="I73" s="68"/>
      <c r="J73"/>
      <c r="K73"/>
      <c r="L73" s="68"/>
      <c r="AD73" s="46"/>
      <c r="AE73" s="46"/>
      <c r="AI73"/>
      <c r="AJ73"/>
      <c r="AK73" s="39"/>
      <c r="AL73" s="39"/>
      <c r="AQ73"/>
      <c r="AR73"/>
      <c r="AS73" s="39"/>
      <c r="AT73" s="39"/>
    </row>
    <row r="74" spans="1:48" s="46" customFormat="1" x14ac:dyDescent="0.25">
      <c r="A74" s="45"/>
      <c r="B74" s="74"/>
      <c r="C74" s="74"/>
      <c r="D74" s="74"/>
      <c r="E74" s="74"/>
      <c r="F74" s="74"/>
      <c r="G74" s="74"/>
      <c r="H74" s="75"/>
      <c r="I74" s="74"/>
      <c r="J74" s="74"/>
      <c r="K74" s="74"/>
      <c r="L74" s="74"/>
      <c r="M74" s="45"/>
      <c r="N74" s="45"/>
      <c r="O74" s="45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I74"/>
      <c r="AJ74" s="75"/>
      <c r="AK74" s="39"/>
      <c r="AL74" s="41"/>
      <c r="AM74" s="45"/>
      <c r="AN74" s="45"/>
      <c r="AQ74"/>
      <c r="AR74" s="75"/>
      <c r="AS74" s="39"/>
      <c r="AT74" s="41"/>
      <c r="AU74" s="45"/>
      <c r="AV74" s="45"/>
    </row>
    <row r="75" spans="1:48" s="46" customFormat="1" x14ac:dyDescent="0.25">
      <c r="A75" s="68"/>
      <c r="B75" s="76"/>
      <c r="C75" s="77"/>
      <c r="D75" s="76"/>
      <c r="E75" s="76"/>
      <c r="F75" s="76"/>
      <c r="G75" s="76"/>
      <c r="H75" s="75"/>
      <c r="I75" s="76"/>
      <c r="J75" s="76"/>
      <c r="K75" s="77"/>
      <c r="L75" s="77"/>
      <c r="M75" s="68"/>
      <c r="N75" s="68"/>
      <c r="O75" s="1"/>
      <c r="P75" s="45"/>
      <c r="Q75" s="45"/>
      <c r="R75" s="45"/>
      <c r="S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s="46" customFormat="1" x14ac:dyDescent="0.25">
      <c r="A76" s="74"/>
      <c r="B76" s="76"/>
      <c r="C76" s="76"/>
      <c r="D76" s="76"/>
      <c r="E76" s="76"/>
      <c r="F76" s="76"/>
      <c r="G76" s="76"/>
      <c r="H76" s="75"/>
      <c r="I76" s="76"/>
      <c r="J76" s="76"/>
      <c r="K76" s="76"/>
      <c r="L76" s="76"/>
      <c r="M76" s="74"/>
      <c r="N76" s="74"/>
      <c r="O76" s="74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I76" s="42"/>
      <c r="AJ76" s="42"/>
      <c r="AK76" s="54"/>
    </row>
    <row r="77" spans="1:48" x14ac:dyDescent="0.25">
      <c r="A77" s="76"/>
      <c r="B77"/>
      <c r="C77" s="39"/>
      <c r="D77" s="39"/>
      <c r="H77"/>
      <c r="I77"/>
      <c r="J77"/>
      <c r="K77" s="39"/>
      <c r="L77" s="39"/>
      <c r="M77" s="77"/>
      <c r="N77" s="77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 s="76"/>
      <c r="B78"/>
      <c r="C78" s="39"/>
      <c r="D78" s="39"/>
      <c r="H78" s="73"/>
      <c r="I78"/>
      <c r="J78"/>
      <c r="K78" s="39"/>
      <c r="L78" s="39"/>
      <c r="M78" s="76"/>
      <c r="N78" s="76"/>
      <c r="O78" s="76"/>
      <c r="P78" s="46"/>
      <c r="Q78" s="46"/>
      <c r="R78" s="46"/>
      <c r="S78" s="46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I80"/>
      <c r="J80"/>
      <c r="K80" s="39"/>
      <c r="L80" s="39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H95" s="46"/>
      <c r="I95"/>
      <c r="J95"/>
      <c r="K95" s="39"/>
      <c r="L95" s="39"/>
      <c r="O95" s="46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126"/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  <row r="150" spans="35:37" x14ac:dyDescent="0.25">
      <c r="AI150" s="38"/>
      <c r="AJ150" s="38"/>
      <c r="AK150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2026-03-31T06:24:07Z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