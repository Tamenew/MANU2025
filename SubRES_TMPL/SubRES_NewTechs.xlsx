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878AF598-F4EE-469E-B3C7-C3D17FBAB849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2" i="7" l="1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69" i="7"/>
  <c r="AE21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<sst xmlns="http://schemas.openxmlformats.org/spreadsheetml/2006/main" count="407" uniqueCount="194">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</sst>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1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C1" zoomScale="96" zoomScaleNormal="96" workbookViewId="0">
      <selection activeCell="F26" sqref="F26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3" width="13.7109375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75" x14ac:dyDescent="0.25">
      <c r="C2" s="38" t="s">
        <v>72</v>
      </c>
      <c r="D2" s="38" t="s">
        <v>73</v>
      </c>
      <c r="E2" s="78" t="s">
        <v>58</v>
      </c>
      <c r="F2" s="78" t="s">
        <v>183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75" x14ac:dyDescent="0.25">
      <c r="C3" s="38" t="s">
        <v>63</v>
      </c>
      <c r="D3" s="38" t="s">
        <v>74</v>
      </c>
      <c r="E3" s="78" t="s">
        <v>58</v>
      </c>
      <c r="F3" s="78" t="s">
        <v>183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4" thickBot="1" x14ac:dyDescent="0.3">
      <c r="C4" s="38" t="s">
        <v>61</v>
      </c>
      <c r="D4" s="38" t="s">
        <v>62</v>
      </c>
      <c r="E4" s="78" t="s">
        <v>58</v>
      </c>
      <c r="F4" s="78" t="s">
        <v>183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75" x14ac:dyDescent="0.25">
      <c r="C5" s="38" t="s">
        <v>60</v>
      </c>
      <c r="D5" s="38" t="s">
        <v>75</v>
      </c>
      <c r="E5" s="78" t="s">
        <v>58</v>
      </c>
      <c r="F5" s="78" t="s">
        <v>183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/>
      <c r="U5" s="12"/>
      <c r="V5" s="12"/>
    </row>
    <row r="6" spans="2:22" ht="15.75" x14ac:dyDescent="0.2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/>
      <c r="U6" s="12"/>
      <c r="V6" s="12"/>
    </row>
    <row r="7" spans="2:22" ht="15.75" x14ac:dyDescent="0.25">
      <c r="C7" s="14"/>
      <c r="D7" s="14"/>
      <c r="E7" s="11"/>
      <c r="F7" s="11"/>
      <c r="G7" s="14"/>
      <c r="N7" s="12"/>
      <c r="O7" s="12"/>
      <c r="P7" s="12"/>
      <c r="Q7" s="12"/>
      <c r="R7" s="12"/>
      <c r="S7" s="12"/>
      <c r="T7" s="12"/>
      <c r="U7" s="12"/>
      <c r="V7" s="12"/>
    </row>
    <row r="8" spans="2:22" x14ac:dyDescent="0.2">
      <c r="B8" s="14"/>
      <c r="C8" s="14"/>
      <c r="D8" s="14"/>
      <c r="E8" s="14"/>
      <c r="F8" s="14"/>
      <c r="G8" s="14"/>
      <c r="N8" s="37"/>
      <c r="O8" s="37"/>
      <c r="P8" s="37"/>
      <c r="Q8" s="37"/>
      <c r="R8" s="37"/>
      <c r="S8" s="12"/>
      <c r="T8" s="12"/>
      <c r="U8" s="12"/>
      <c r="V8" s="12"/>
    </row>
    <row r="9" spans="2:22" x14ac:dyDescent="0.2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3.25" thickBot="1" x14ac:dyDescent="0.25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3.25" thickBot="1" x14ac:dyDescent="0.25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183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38"/>
    </row>
    <row r="27" spans="2:22" x14ac:dyDescent="0.2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38"/>
    </row>
    <row r="28" spans="2:22" x14ac:dyDescent="0.2">
      <c r="B28" s="7"/>
      <c r="C28" s="10"/>
      <c r="D28" s="7"/>
      <c r="E28" s="1"/>
      <c r="F28" s="1"/>
      <c r="G28" s="1"/>
      <c r="H28" s="1"/>
      <c r="R28" s="38"/>
      <c r="S28" s="38"/>
      <c r="T28" s="38"/>
    </row>
    <row r="29" spans="2:22" x14ac:dyDescent="0.2">
      <c r="B29" s="7"/>
      <c r="C29" s="10"/>
      <c r="D29" s="7"/>
      <c r="E29" s="1"/>
      <c r="F29" s="1"/>
      <c r="G29" s="1"/>
      <c r="H29" s="1"/>
      <c r="N29" s="14"/>
      <c r="O29" s="14"/>
      <c r="P29" s="14"/>
      <c r="Q29" s="14"/>
      <c r="R29" s="38"/>
      <c r="S29" s="38"/>
      <c r="T29" s="38"/>
    </row>
    <row r="30" spans="2:22" x14ac:dyDescent="0.2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">
      <c r="N37" s="1"/>
      <c r="P37" s="1"/>
      <c r="Q37" s="1"/>
    </row>
    <row r="38" spans="2:20" x14ac:dyDescent="0.2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">
      <c r="B45" s="7"/>
      <c r="C45" s="10"/>
      <c r="D45" s="7"/>
      <c r="E45" s="1"/>
      <c r="F45" s="1"/>
      <c r="G45" s="1"/>
    </row>
    <row r="46" spans="2:20" x14ac:dyDescent="0.2">
      <c r="B46" s="7"/>
      <c r="C46" s="1"/>
      <c r="D46" s="7"/>
      <c r="E46" s="1"/>
      <c r="F46" s="1"/>
      <c r="G46" s="1"/>
    </row>
    <row r="47" spans="2:20" x14ac:dyDescent="0.2">
      <c r="B47" s="5"/>
      <c r="C47" s="7"/>
      <c r="D47" s="7"/>
      <c r="E47" s="1"/>
      <c r="F47" s="1"/>
      <c r="G47" s="1"/>
    </row>
    <row r="48" spans="2:20" x14ac:dyDescent="0.2">
      <c r="B48" s="5"/>
      <c r="C48" s="7"/>
      <c r="D48" s="7"/>
      <c r="E48" s="1"/>
      <c r="F48" s="1"/>
      <c r="G48" s="1"/>
    </row>
    <row r="49" spans="2:17" x14ac:dyDescent="0.2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">
      <c r="P54" s="10"/>
      <c r="Q54" s="27"/>
    </row>
    <row r="55" spans="2:17" x14ac:dyDescent="0.2">
      <c r="B55" s="23"/>
      <c r="C55" s="1" t="s">
        <v>82</v>
      </c>
    </row>
    <row r="56" spans="2:17" x14ac:dyDescent="0.2">
      <c r="B56" s="30"/>
      <c r="C56" s="1" t="s">
        <v>83</v>
      </c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H145"/>
  <sheetViews>
    <sheetView tabSelected="1" topLeftCell="A38" zoomScale="118" zoomScaleNormal="118" workbookViewId="0">
      <selection activeCell="B53" sqref="B53"/>
    </sheetView>
  </sheetViews>
  <sheetFormatPr defaultColWidth="8.85546875" defaultRowHeight="12.75" x14ac:dyDescent="0.2"/>
  <cols>
    <col min="1" max="1" width="3" style="48" customWidth="1"/>
    <col min="2" max="2" width="12.140625" style="48" bestFit="1" customWidth="1"/>
    <col min="3" max="3" width="25.85546875" style="48" customWidth="1"/>
    <col min="4" max="4" width="13.85546875" style="48" bestFit="1" customWidth="1"/>
    <col min="5" max="5" width="20" style="48" bestFit="1" customWidth="1"/>
    <col min="6" max="6" width="13.140625" style="48" bestFit="1" customWidth="1"/>
    <col min="7" max="7" width="9.5703125" style="48" bestFit="1" customWidth="1"/>
    <col min="8" max="8" width="7.85546875" style="48" bestFit="1" customWidth="1"/>
    <col min="9" max="9" width="8.140625" style="48" customWidth="1"/>
    <col min="10" max="10" width="12.85546875" style="48" bestFit="1" customWidth="1"/>
    <col min="11" max="14" width="8.140625" style="48" customWidth="1"/>
    <col min="15" max="16" width="8.140625" style="49" customWidth="1"/>
    <col min="17" max="17" width="12.7109375" style="48" bestFit="1" customWidth="1"/>
    <col min="18" max="18" width="7.140625" style="48" customWidth="1"/>
    <col min="19" max="19" width="11.42578125" style="48" bestFit="1" customWidth="1"/>
    <col min="20" max="20" width="63.85546875" style="48" bestFit="1" customWidth="1"/>
    <col min="21" max="21" width="8.28515625" style="48" bestFit="1" customWidth="1"/>
    <col min="22" max="22" width="11.7109375" style="48" customWidth="1"/>
    <col min="23" max="23" width="13.42578125" style="48" customWidth="1"/>
    <col min="24" max="24" width="13.85546875" style="48" customWidth="1"/>
    <col min="25" max="25" width="8.42578125" style="48" customWidth="1"/>
    <col min="26" max="30" width="8.85546875" style="48"/>
    <col min="31" max="31" width="12.42578125" style="48" bestFit="1" customWidth="1"/>
    <col min="32" max="32" width="8.85546875" style="48"/>
    <col min="33" max="33" width="13.140625" style="48" bestFit="1" customWidth="1"/>
    <col min="34" max="16384" width="8.85546875" style="48"/>
  </cols>
  <sheetData>
    <row r="1" spans="2:26" ht="15" x14ac:dyDescent="0.2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26" ht="31.5" x14ac:dyDescent="0.2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184</v>
      </c>
      <c r="G2" s="50"/>
      <c r="H2" s="50" t="s">
        <v>97</v>
      </c>
      <c r="Q2" s="52" t="s">
        <v>7</v>
      </c>
      <c r="R2" s="52"/>
      <c r="S2" s="53"/>
      <c r="T2" s="53"/>
      <c r="U2" s="53"/>
      <c r="V2" s="53"/>
      <c r="W2" s="53"/>
      <c r="X2" s="53"/>
      <c r="Y2" s="53"/>
    </row>
    <row r="3" spans="2:26" x14ac:dyDescent="0.2">
      <c r="Q3" s="54" t="s">
        <v>8</v>
      </c>
      <c r="R3" s="55" t="s">
        <v>42</v>
      </c>
      <c r="S3" s="54" t="s">
        <v>6</v>
      </c>
      <c r="T3" s="54" t="s">
        <v>9</v>
      </c>
      <c r="U3" s="54" t="s">
        <v>10</v>
      </c>
      <c r="V3" s="54" t="s">
        <v>11</v>
      </c>
      <c r="W3" s="54" t="s">
        <v>12</v>
      </c>
      <c r="X3" s="54" t="s">
        <v>13</v>
      </c>
      <c r="Y3" s="54" t="s">
        <v>14</v>
      </c>
    </row>
    <row r="4" spans="2:26" ht="24" thickBot="1" x14ac:dyDescent="0.3">
      <c r="B4" s="56"/>
      <c r="C4" s="56"/>
      <c r="D4" s="56"/>
      <c r="E4" s="56"/>
      <c r="F4" s="56"/>
      <c r="G4" s="56"/>
      <c r="Q4" s="31" t="s">
        <v>43</v>
      </c>
      <c r="R4" s="31" t="s">
        <v>44</v>
      </c>
      <c r="S4" s="31" t="s">
        <v>23</v>
      </c>
      <c r="T4" s="31" t="s">
        <v>24</v>
      </c>
      <c r="U4" s="31" t="s">
        <v>10</v>
      </c>
      <c r="V4" s="31" t="s">
        <v>45</v>
      </c>
      <c r="W4" s="31" t="s">
        <v>46</v>
      </c>
      <c r="X4" s="31" t="s">
        <v>25</v>
      </c>
      <c r="Y4" s="31" t="s">
        <v>26</v>
      </c>
    </row>
    <row r="5" spans="2:26" ht="15.75" x14ac:dyDescent="0.25">
      <c r="B5" s="56"/>
      <c r="C5" s="56"/>
      <c r="D5" s="56"/>
      <c r="E5" s="56"/>
      <c r="F5" s="56"/>
      <c r="G5" s="56"/>
      <c r="Q5" s="42" t="s">
        <v>59</v>
      </c>
      <c r="R5" s="42"/>
      <c r="S5" s="42" t="s">
        <v>111</v>
      </c>
      <c r="T5" s="42" t="s">
        <v>114</v>
      </c>
      <c r="U5" s="42" t="s">
        <v>58</v>
      </c>
      <c r="V5" s="41"/>
      <c r="W5" s="41"/>
      <c r="X5" s="41"/>
      <c r="Y5" s="41"/>
      <c r="Z5" s="49"/>
    </row>
    <row r="6" spans="2:26" ht="15.75" x14ac:dyDescent="0.25">
      <c r="B6" s="56"/>
      <c r="C6" s="56"/>
      <c r="D6" s="56"/>
      <c r="E6" s="56"/>
      <c r="F6" s="56"/>
      <c r="G6" s="56"/>
      <c r="Q6" s="42" t="s">
        <v>59</v>
      </c>
      <c r="R6" s="42"/>
      <c r="S6" s="42" t="s">
        <v>113</v>
      </c>
      <c r="T6" s="42" t="s">
        <v>115</v>
      </c>
      <c r="U6" s="42" t="s">
        <v>58</v>
      </c>
      <c r="V6" s="57"/>
      <c r="W6" s="57"/>
      <c r="X6" s="57"/>
      <c r="Y6" s="57"/>
      <c r="Z6" s="49"/>
    </row>
    <row r="7" spans="2:26" ht="15.75" x14ac:dyDescent="0.25">
      <c r="B7" s="56"/>
      <c r="C7" s="56"/>
      <c r="D7" s="56"/>
      <c r="E7" s="56"/>
      <c r="F7" s="56"/>
      <c r="G7" s="56"/>
      <c r="Q7" s="43" t="s">
        <v>59</v>
      </c>
      <c r="R7" s="43"/>
      <c r="S7" s="43" t="s">
        <v>112</v>
      </c>
      <c r="T7" s="43" t="s">
        <v>116</v>
      </c>
      <c r="U7" s="43" t="s">
        <v>58</v>
      </c>
      <c r="V7" s="57"/>
      <c r="W7" s="57"/>
      <c r="X7" s="57"/>
      <c r="Y7" s="57"/>
      <c r="Z7" s="49"/>
    </row>
    <row r="8" spans="2:26" ht="15.75" x14ac:dyDescent="0.25">
      <c r="B8" s="56"/>
      <c r="C8" s="56"/>
      <c r="D8" s="56"/>
      <c r="E8" s="56"/>
      <c r="F8" s="56"/>
      <c r="G8" s="56"/>
      <c r="Z8" s="49"/>
    </row>
    <row r="9" spans="2:26" ht="15.75" x14ac:dyDescent="0.25">
      <c r="B9" s="56"/>
      <c r="C9" s="56"/>
      <c r="D9" s="56"/>
      <c r="E9" s="56"/>
      <c r="F9" s="56"/>
      <c r="G9" s="56"/>
      <c r="Z9" s="49"/>
    </row>
    <row r="10" spans="2:26" ht="15.75" x14ac:dyDescent="0.25">
      <c r="B10" s="56"/>
      <c r="C10" s="56"/>
      <c r="D10" s="56"/>
      <c r="E10" s="56"/>
      <c r="F10" s="56"/>
      <c r="G10" s="56"/>
      <c r="Z10" s="49"/>
    </row>
    <row r="11" spans="2:26" x14ac:dyDescent="0.2">
      <c r="Z11" s="49"/>
    </row>
    <row r="13" spans="2:26" x14ac:dyDescent="0.2">
      <c r="Q13" s="53"/>
      <c r="R13" s="53"/>
      <c r="S13" s="53"/>
      <c r="T13" s="53"/>
      <c r="U13" s="53"/>
      <c r="V13" s="53"/>
      <c r="W13" s="53"/>
      <c r="X13" s="53"/>
      <c r="Y13" s="53"/>
    </row>
    <row r="14" spans="2:26" x14ac:dyDescent="0.2">
      <c r="Q14" s="53"/>
      <c r="R14" s="53"/>
      <c r="S14" s="53"/>
      <c r="T14" s="53"/>
      <c r="U14" s="53"/>
      <c r="V14" s="53"/>
      <c r="W14" s="53"/>
      <c r="X14" s="53"/>
      <c r="Y14" s="53"/>
    </row>
    <row r="16" spans="2:26" x14ac:dyDescent="0.2">
      <c r="D16" s="58" t="s">
        <v>0</v>
      </c>
      <c r="E16" s="58"/>
      <c r="F16" s="58"/>
      <c r="H16" s="58"/>
      <c r="Q16" s="52" t="s">
        <v>17</v>
      </c>
      <c r="R16" s="52"/>
      <c r="S16" s="53"/>
      <c r="T16" s="53"/>
      <c r="U16" s="53"/>
      <c r="V16" s="53"/>
      <c r="W16" s="53"/>
      <c r="X16" s="53"/>
      <c r="Y16" s="53"/>
    </row>
    <row r="17" spans="2:34" ht="24" customHeight="1" x14ac:dyDescent="0.2">
      <c r="B17" s="59" t="s">
        <v>1</v>
      </c>
      <c r="C17" s="59" t="s">
        <v>3</v>
      </c>
      <c r="D17" s="59" t="s">
        <v>4</v>
      </c>
      <c r="E17" s="60" t="s">
        <v>193</v>
      </c>
      <c r="F17" s="61" t="s">
        <v>186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Q17" s="54" t="s">
        <v>15</v>
      </c>
      <c r="R17" s="55" t="s">
        <v>42</v>
      </c>
      <c r="S17" s="54" t="s">
        <v>1</v>
      </c>
      <c r="T17" s="54" t="s">
        <v>2</v>
      </c>
      <c r="U17" s="54" t="s">
        <v>18</v>
      </c>
      <c r="V17" s="54" t="s">
        <v>19</v>
      </c>
      <c r="W17" s="54" t="s">
        <v>20</v>
      </c>
      <c r="X17" s="54" t="s">
        <v>21</v>
      </c>
      <c r="Y17" s="54" t="s">
        <v>22</v>
      </c>
      <c r="AD17" s="63" t="s">
        <v>181</v>
      </c>
      <c r="AE17" s="38"/>
      <c r="AF17" s="63"/>
      <c r="AG17" s="38"/>
    </row>
    <row r="18" spans="2:34" ht="45.75" thickBot="1" x14ac:dyDescent="0.25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Q18" s="31" t="s">
        <v>50</v>
      </c>
      <c r="R18" s="31" t="s">
        <v>44</v>
      </c>
      <c r="S18" s="31" t="s">
        <v>27</v>
      </c>
      <c r="T18" s="31" t="s">
        <v>28</v>
      </c>
      <c r="U18" s="31" t="s">
        <v>29</v>
      </c>
      <c r="V18" s="31" t="s">
        <v>30</v>
      </c>
      <c r="W18" s="31" t="s">
        <v>51</v>
      </c>
      <c r="X18" s="31" t="s">
        <v>52</v>
      </c>
      <c r="Y18" s="31" t="s">
        <v>31</v>
      </c>
      <c r="AD18" s="64" t="s">
        <v>130</v>
      </c>
      <c r="AE18" s="64" t="s">
        <v>6</v>
      </c>
      <c r="AF18" s="64" t="s">
        <v>131</v>
      </c>
      <c r="AG18" s="64" t="s">
        <v>93</v>
      </c>
      <c r="AH18" s="64" t="s">
        <v>94</v>
      </c>
    </row>
    <row r="19" spans="2:34" ht="33.75" customHeight="1" thickBot="1" x14ac:dyDescent="0.25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185</v>
      </c>
      <c r="K19" s="36"/>
      <c r="L19" s="35" t="s">
        <v>183</v>
      </c>
      <c r="M19" s="36"/>
      <c r="N19" s="36" t="s">
        <v>124</v>
      </c>
      <c r="Q19" s="31" t="s">
        <v>81</v>
      </c>
      <c r="R19" s="31"/>
      <c r="S19" s="31"/>
      <c r="T19" s="31"/>
      <c r="U19" s="31"/>
      <c r="V19" s="31"/>
      <c r="W19" s="31"/>
      <c r="X19" s="31"/>
      <c r="Y19" s="31"/>
      <c r="AD19" s="44" t="s">
        <v>81</v>
      </c>
      <c r="AE19" s="44" t="s">
        <v>132</v>
      </c>
      <c r="AF19" s="44"/>
      <c r="AG19" s="44"/>
      <c r="AH19" s="44"/>
    </row>
    <row r="20" spans="2:34" ht="13.5" thickBot="1" x14ac:dyDescent="0.25">
      <c r="B20" s="48" t="str">
        <f>S20</f>
        <v>Furnace</v>
      </c>
      <c r="C20" s="48" t="s">
        <v>69</v>
      </c>
      <c r="D20" s="53" t="str">
        <f>S5</f>
        <v>ELCHEAT</v>
      </c>
      <c r="E20" s="46">
        <v>2030</v>
      </c>
      <c r="F20" s="46"/>
      <c r="G20" s="46">
        <v>1</v>
      </c>
      <c r="H20" s="46">
        <v>1</v>
      </c>
      <c r="I20" s="46">
        <v>25</v>
      </c>
      <c r="J20" s="46">
        <v>81</v>
      </c>
      <c r="K20" s="46">
        <v>0</v>
      </c>
      <c r="L20" s="46">
        <v>0.24</v>
      </c>
      <c r="M20" s="46">
        <v>8.76</v>
      </c>
      <c r="N20" s="46"/>
      <c r="Q20" s="65" t="s">
        <v>110</v>
      </c>
      <c r="R20" s="65"/>
      <c r="S20" s="66" t="s">
        <v>66</v>
      </c>
      <c r="T20" s="67" t="s">
        <v>108</v>
      </c>
      <c r="U20" s="48" t="s">
        <v>58</v>
      </c>
      <c r="V20" s="48" t="s">
        <v>87</v>
      </c>
      <c r="W20" s="68" t="s">
        <v>88</v>
      </c>
      <c r="X20" s="49"/>
      <c r="Y20" s="49"/>
      <c r="AD20" s="45" t="s">
        <v>53</v>
      </c>
      <c r="AE20" s="45"/>
      <c r="AF20" s="45"/>
      <c r="AG20" s="45"/>
      <c r="AH20" s="44"/>
    </row>
    <row r="21" spans="2:34" x14ac:dyDescent="0.2">
      <c r="B21" s="48" t="str">
        <f>S$21</f>
        <v>BIOBoiler</v>
      </c>
      <c r="C21" s="48" t="str">
        <f>PRI_Sector_Fuels!P5</f>
        <v>MANBIOMIN</v>
      </c>
      <c r="D21" s="53" t="str">
        <f>S6</f>
        <v>BIOHEAT</v>
      </c>
      <c r="E21" s="46">
        <v>2030</v>
      </c>
      <c r="F21" s="46"/>
      <c r="G21" s="46">
        <v>0.8</v>
      </c>
      <c r="H21" s="46">
        <v>1</v>
      </c>
      <c r="I21" s="46">
        <v>25</v>
      </c>
      <c r="J21" s="46">
        <v>797.9</v>
      </c>
      <c r="K21" s="46">
        <v>48.48</v>
      </c>
      <c r="L21" s="46">
        <v>3.75</v>
      </c>
      <c r="M21" s="46">
        <v>8.76</v>
      </c>
      <c r="N21" s="46"/>
      <c r="Q21" s="65" t="s">
        <v>110</v>
      </c>
      <c r="R21" s="65"/>
      <c r="S21" s="66" t="s">
        <v>101</v>
      </c>
      <c r="T21" s="67" t="s">
        <v>100</v>
      </c>
      <c r="U21" s="48" t="s">
        <v>58</v>
      </c>
      <c r="V21" s="48" t="s">
        <v>87</v>
      </c>
      <c r="W21" s="68" t="s">
        <v>88</v>
      </c>
      <c r="X21" s="49"/>
      <c r="Y21" s="49"/>
      <c r="AD21" s="38" t="s">
        <v>182</v>
      </c>
      <c r="AE21" s="39" t="str">
        <f>S$26</f>
        <v>WNDTRBN</v>
      </c>
      <c r="AF21" s="48" t="s">
        <v>133</v>
      </c>
      <c r="AG21" s="48">
        <v>3.3051976250754521E-3</v>
      </c>
      <c r="AH21" s="48">
        <v>0</v>
      </c>
    </row>
    <row r="22" spans="2:34" x14ac:dyDescent="0.2">
      <c r="B22" s="48" t="str">
        <f>S24</f>
        <v>ELCBoiler</v>
      </c>
      <c r="C22" s="48" t="s">
        <v>69</v>
      </c>
      <c r="D22" s="53" t="str">
        <f>S5</f>
        <v>ELCHEAT</v>
      </c>
      <c r="E22" s="46">
        <v>2030</v>
      </c>
      <c r="F22" s="46"/>
      <c r="G22" s="46">
        <v>0.8</v>
      </c>
      <c r="H22" s="46">
        <v>1</v>
      </c>
      <c r="I22" s="46">
        <v>25</v>
      </c>
      <c r="J22" s="46">
        <v>112.9</v>
      </c>
      <c r="K22" s="46">
        <v>14.26</v>
      </c>
      <c r="L22" s="46">
        <v>1.22</v>
      </c>
      <c r="M22" s="46">
        <v>8.76</v>
      </c>
      <c r="N22" s="46"/>
      <c r="Q22" s="65" t="s">
        <v>110</v>
      </c>
      <c r="R22" s="65"/>
      <c r="S22" s="66" t="s">
        <v>102</v>
      </c>
      <c r="T22" s="67" t="s">
        <v>107</v>
      </c>
      <c r="U22" s="48" t="s">
        <v>58</v>
      </c>
      <c r="V22" s="48" t="s">
        <v>87</v>
      </c>
      <c r="W22" s="68" t="s">
        <v>88</v>
      </c>
      <c r="X22" s="49"/>
      <c r="Y22" s="49"/>
      <c r="AD22" s="38" t="s">
        <v>182</v>
      </c>
      <c r="AE22" s="39" t="str">
        <f t="shared" ref="AE22:AE69" si="0">S$26</f>
        <v>WNDTRBN</v>
      </c>
      <c r="AF22" s="69" t="s">
        <v>134</v>
      </c>
      <c r="AG22" s="48">
        <v>3.1618331753269246E-3</v>
      </c>
      <c r="AH22" s="48">
        <v>0</v>
      </c>
    </row>
    <row r="23" spans="2:34" s="49" customFormat="1" x14ac:dyDescent="0.2">
      <c r="B23" s="48" t="str">
        <f>S22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46"/>
      <c r="G23" s="46">
        <v>0.55000000000000004</v>
      </c>
      <c r="H23" s="46">
        <v>1</v>
      </c>
      <c r="I23" s="46">
        <v>25</v>
      </c>
      <c r="J23" s="46">
        <v>297.10000000000002</v>
      </c>
      <c r="K23" s="46">
        <v>4.46</v>
      </c>
      <c r="L23" s="46">
        <v>0.45</v>
      </c>
      <c r="M23" s="46">
        <v>8.76</v>
      </c>
      <c r="N23" s="46"/>
      <c r="Q23" s="65" t="s">
        <v>110</v>
      </c>
      <c r="R23" s="65"/>
      <c r="S23" s="66" t="s">
        <v>103</v>
      </c>
      <c r="T23" s="67" t="s">
        <v>104</v>
      </c>
      <c r="U23" s="48" t="s">
        <v>58</v>
      </c>
      <c r="V23" s="48" t="s">
        <v>87</v>
      </c>
      <c r="W23" s="68" t="s">
        <v>88</v>
      </c>
      <c r="AD23" s="38" t="s">
        <v>182</v>
      </c>
      <c r="AE23" s="39" t="str">
        <f t="shared" si="0"/>
        <v>WNDTRBN</v>
      </c>
      <c r="AF23" s="48" t="s">
        <v>135</v>
      </c>
      <c r="AG23" s="48">
        <v>2.8979409360310663E-3</v>
      </c>
      <c r="AH23" s="49">
        <v>0</v>
      </c>
    </row>
    <row r="24" spans="2:34" s="49" customFormat="1" x14ac:dyDescent="0.2">
      <c r="B24" s="53" t="str">
        <f>S23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46"/>
      <c r="G24" s="46">
        <v>1</v>
      </c>
      <c r="H24" s="46">
        <v>1</v>
      </c>
      <c r="I24" s="46">
        <v>25</v>
      </c>
      <c r="J24" s="46">
        <v>61.4</v>
      </c>
      <c r="K24" s="46">
        <v>2.57</v>
      </c>
      <c r="L24" s="46">
        <v>1.35</v>
      </c>
      <c r="M24" s="46">
        <v>8.76</v>
      </c>
      <c r="N24" s="46"/>
      <c r="Q24" s="65" t="s">
        <v>110</v>
      </c>
      <c r="R24" s="65"/>
      <c r="S24" s="66" t="s">
        <v>105</v>
      </c>
      <c r="T24" s="67" t="s">
        <v>106</v>
      </c>
      <c r="U24" s="48" t="s">
        <v>58</v>
      </c>
      <c r="V24" s="48" t="s">
        <v>87</v>
      </c>
      <c r="W24" s="68" t="s">
        <v>88</v>
      </c>
      <c r="AD24" s="38" t="s">
        <v>182</v>
      </c>
      <c r="AE24" s="39" t="str">
        <f t="shared" si="0"/>
        <v>WNDTRBN</v>
      </c>
      <c r="AF24" s="69" t="s">
        <v>136</v>
      </c>
      <c r="AG24" s="48">
        <v>2.7156926103261707E-3</v>
      </c>
      <c r="AH24" s="49">
        <v>0</v>
      </c>
    </row>
    <row r="25" spans="2:34" s="49" customFormat="1" x14ac:dyDescent="0.2">
      <c r="B25" s="53" t="str">
        <f>S26</f>
        <v>WNDTRBN</v>
      </c>
      <c r="C25" s="48"/>
      <c r="D25" s="53" t="s">
        <v>69</v>
      </c>
      <c r="E25" s="46">
        <v>2030</v>
      </c>
      <c r="F25" s="46"/>
      <c r="G25" s="46"/>
      <c r="H25" s="46">
        <v>0.97</v>
      </c>
      <c r="I25" s="46">
        <v>25</v>
      </c>
      <c r="J25" s="46">
        <v>1041</v>
      </c>
      <c r="K25" s="46">
        <v>38</v>
      </c>
      <c r="L25" s="46"/>
      <c r="M25" s="46">
        <v>8.76</v>
      </c>
      <c r="N25" s="46"/>
      <c r="Q25" s="65" t="s">
        <v>110</v>
      </c>
      <c r="R25" s="65"/>
      <c r="S25" s="66" t="s">
        <v>65</v>
      </c>
      <c r="T25" s="67" t="s">
        <v>109</v>
      </c>
      <c r="U25" s="48" t="s">
        <v>58</v>
      </c>
      <c r="V25" s="48" t="s">
        <v>87</v>
      </c>
      <c r="W25" s="49" t="s">
        <v>88</v>
      </c>
      <c r="AD25" s="38" t="s">
        <v>182</v>
      </c>
      <c r="AE25" s="39" t="str">
        <f t="shared" si="0"/>
        <v>WNDTRBN</v>
      </c>
      <c r="AF25" s="48" t="s">
        <v>137</v>
      </c>
      <c r="AG25" s="48">
        <v>2.5452192095824343E-3</v>
      </c>
      <c r="AH25" s="49">
        <v>0</v>
      </c>
    </row>
    <row r="26" spans="2:34" s="49" customFormat="1" x14ac:dyDescent="0.2">
      <c r="B26" s="53" t="str">
        <f>S27</f>
        <v>SOLPV</v>
      </c>
      <c r="C26" s="48"/>
      <c r="D26" s="53" t="s">
        <v>69</v>
      </c>
      <c r="E26" s="46">
        <v>2030</v>
      </c>
      <c r="F26" s="46"/>
      <c r="G26" s="46"/>
      <c r="H26" s="46">
        <v>0.99</v>
      </c>
      <c r="I26" s="46">
        <v>25</v>
      </c>
      <c r="J26" s="46">
        <v>691</v>
      </c>
      <c r="K26" s="46">
        <v>6.99</v>
      </c>
      <c r="L26" s="46"/>
      <c r="M26" s="46">
        <v>8.76</v>
      </c>
      <c r="N26" s="46"/>
      <c r="Q26" s="65" t="s">
        <v>69</v>
      </c>
      <c r="R26" s="65"/>
      <c r="S26" s="66" t="s">
        <v>93</v>
      </c>
      <c r="T26" s="67" t="s">
        <v>96</v>
      </c>
      <c r="U26" s="48" t="s">
        <v>58</v>
      </c>
      <c r="V26" s="48" t="s">
        <v>87</v>
      </c>
      <c r="W26" s="49" t="s">
        <v>88</v>
      </c>
      <c r="AD26" s="38" t="s">
        <v>182</v>
      </c>
      <c r="AE26" s="39" t="str">
        <f t="shared" si="0"/>
        <v>WNDTRBN</v>
      </c>
      <c r="AF26" s="69" t="s">
        <v>138</v>
      </c>
      <c r="AG26" s="48">
        <v>2.5834450529081338E-3</v>
      </c>
      <c r="AH26" s="49">
        <v>0</v>
      </c>
    </row>
    <row r="27" spans="2:34" s="49" customFormat="1" x14ac:dyDescent="0.2">
      <c r="B27" s="53" t="str">
        <f>S25</f>
        <v>CSP</v>
      </c>
      <c r="C27" s="48"/>
      <c r="D27" s="53" t="str">
        <f>S7</f>
        <v>SOLHEAT</v>
      </c>
      <c r="E27" s="46">
        <v>2030</v>
      </c>
      <c r="F27" s="46"/>
      <c r="G27" s="46"/>
      <c r="H27" s="46">
        <v>1</v>
      </c>
      <c r="I27" s="46">
        <v>25</v>
      </c>
      <c r="J27" s="46">
        <v>3677</v>
      </c>
      <c r="K27" s="46"/>
      <c r="L27" s="46">
        <v>14</v>
      </c>
      <c r="M27" s="46">
        <v>8.76</v>
      </c>
      <c r="N27" s="46"/>
      <c r="Q27" s="65" t="s">
        <v>69</v>
      </c>
      <c r="R27" s="65"/>
      <c r="S27" s="66" t="s">
        <v>94</v>
      </c>
      <c r="T27" s="67" t="s">
        <v>95</v>
      </c>
      <c r="U27" s="48" t="s">
        <v>58</v>
      </c>
      <c r="V27" s="48" t="s">
        <v>87</v>
      </c>
      <c r="W27" s="49" t="s">
        <v>88</v>
      </c>
      <c r="AD27" s="38" t="s">
        <v>182</v>
      </c>
      <c r="AE27" s="39" t="str">
        <f t="shared" si="0"/>
        <v>WNDTRBN</v>
      </c>
      <c r="AF27" s="48" t="s">
        <v>139</v>
      </c>
      <c r="AG27" s="48">
        <v>2.7432881310744317E-3</v>
      </c>
      <c r="AH27" s="49">
        <v>6.9165519713261618E-3</v>
      </c>
    </row>
    <row r="28" spans="2:34" s="49" customFormat="1" x14ac:dyDescent="0.2">
      <c r="B28" s="48" t="str">
        <f>S28</f>
        <v>RNWHEAT</v>
      </c>
      <c r="C28" s="53" t="str">
        <f>S5</f>
        <v>ELCHEAT</v>
      </c>
      <c r="D28" s="53" t="s">
        <v>128</v>
      </c>
      <c r="E28" s="46">
        <v>2030</v>
      </c>
      <c r="F28" s="46"/>
      <c r="G28" s="46">
        <v>1</v>
      </c>
      <c r="H28" s="46">
        <v>1</v>
      </c>
      <c r="I28" s="46"/>
      <c r="J28" s="46">
        <v>0</v>
      </c>
      <c r="K28" s="46"/>
      <c r="L28" s="46"/>
      <c r="M28" s="46">
        <v>8.76</v>
      </c>
      <c r="N28" s="46"/>
      <c r="Q28" s="48" t="s">
        <v>110</v>
      </c>
      <c r="R28" s="48"/>
      <c r="S28" s="48" t="s">
        <v>126</v>
      </c>
      <c r="T28" s="48" t="s">
        <v>127</v>
      </c>
      <c r="U28" s="48" t="s">
        <v>58</v>
      </c>
      <c r="V28" s="48" t="s">
        <v>87</v>
      </c>
      <c r="W28" s="49" t="s">
        <v>88</v>
      </c>
      <c r="X28" s="48"/>
      <c r="Y28" s="48"/>
      <c r="AD28" s="38" t="s">
        <v>182</v>
      </c>
      <c r="AE28" s="39" t="str">
        <f t="shared" si="0"/>
        <v>WNDTRBN</v>
      </c>
      <c r="AF28" s="69" t="s">
        <v>140</v>
      </c>
      <c r="AG28" s="48">
        <v>2.8314721319216154E-3</v>
      </c>
      <c r="AH28" s="49">
        <v>4.9742853046594968E-2</v>
      </c>
    </row>
    <row r="29" spans="2:34" s="49" customFormat="1" x14ac:dyDescent="0.2">
      <c r="B29" s="48" t="str">
        <f>S28</f>
        <v>RNWHEAT</v>
      </c>
      <c r="C29" s="53" t="str">
        <f>S6</f>
        <v>BIOHEAT</v>
      </c>
      <c r="D29" s="53" t="s">
        <v>128</v>
      </c>
      <c r="E29" s="46">
        <v>2030</v>
      </c>
      <c r="F29" s="46"/>
      <c r="G29" s="46">
        <v>1</v>
      </c>
      <c r="H29" s="46">
        <v>1</v>
      </c>
      <c r="I29" s="46"/>
      <c r="J29" s="46">
        <v>0</v>
      </c>
      <c r="K29" s="46"/>
      <c r="L29" s="46"/>
      <c r="M29" s="46">
        <v>8.76</v>
      </c>
      <c r="N29" s="46"/>
      <c r="AD29" s="38" t="s">
        <v>182</v>
      </c>
      <c r="AE29" s="39" t="str">
        <f t="shared" si="0"/>
        <v>WNDTRBN</v>
      </c>
      <c r="AF29" s="48" t="s">
        <v>141</v>
      </c>
      <c r="AG29" s="48">
        <v>2.8141143326017269E-3</v>
      </c>
      <c r="AH29" s="49">
        <v>0.12554577777777776</v>
      </c>
    </row>
    <row r="30" spans="2:34" s="49" customFormat="1" x14ac:dyDescent="0.2">
      <c r="B30" s="48" t="str">
        <f>S28</f>
        <v>RNWHEAT</v>
      </c>
      <c r="C30" s="53" t="str">
        <f>S7</f>
        <v>SOLHEAT</v>
      </c>
      <c r="D30" s="53" t="s">
        <v>128</v>
      </c>
      <c r="E30" s="46">
        <v>2030</v>
      </c>
      <c r="F30" s="46"/>
      <c r="G30" s="46">
        <v>1</v>
      </c>
      <c r="H30" s="46">
        <v>1</v>
      </c>
      <c r="I30" s="46"/>
      <c r="J30" s="46">
        <v>0</v>
      </c>
      <c r="K30" s="46"/>
      <c r="L30" s="46"/>
      <c r="M30" s="46">
        <v>8.76</v>
      </c>
      <c r="N30" s="46"/>
      <c r="Q30" s="48"/>
      <c r="R30" s="48"/>
      <c r="S30" s="48"/>
      <c r="T30" s="48"/>
      <c r="U30" s="48"/>
      <c r="V30" s="48"/>
      <c r="W30" s="48"/>
      <c r="X30" s="48"/>
      <c r="Y30" s="48"/>
      <c r="AD30" s="38" t="s">
        <v>182</v>
      </c>
      <c r="AE30" s="39" t="str">
        <f t="shared" si="0"/>
        <v>WNDTRBN</v>
      </c>
      <c r="AF30" s="69" t="s">
        <v>142</v>
      </c>
      <c r="AG30" s="48">
        <v>2.6656478128544076E-3</v>
      </c>
      <c r="AH30" s="49">
        <v>0.2058007025089606</v>
      </c>
    </row>
    <row r="31" spans="2:34" s="49" customFormat="1" x14ac:dyDescent="0.2">
      <c r="B31" s="53" t="str">
        <f>S23</f>
        <v>GASBoiler</v>
      </c>
      <c r="C31" s="53"/>
      <c r="D31" s="53" t="s">
        <v>125</v>
      </c>
      <c r="E31" s="46">
        <v>2030</v>
      </c>
      <c r="F31" s="46"/>
      <c r="G31" s="46"/>
      <c r="H31" s="46">
        <v>1</v>
      </c>
      <c r="I31" s="46"/>
      <c r="J31" s="46">
        <v>0</v>
      </c>
      <c r="K31" s="46"/>
      <c r="L31" s="46"/>
      <c r="M31" s="46">
        <v>8.76</v>
      </c>
      <c r="N31" s="46">
        <v>0.20200000000000001</v>
      </c>
      <c r="Q31" s="48"/>
      <c r="R31" s="48"/>
      <c r="S31" s="48"/>
      <c r="T31" s="48"/>
      <c r="U31" s="48"/>
      <c r="V31" s="48"/>
      <c r="W31" s="48"/>
      <c r="X31" s="48"/>
      <c r="Y31" s="48"/>
      <c r="AD31" s="38" t="s">
        <v>182</v>
      </c>
      <c r="AE31" s="39" t="str">
        <f t="shared" si="0"/>
        <v>WNDTRBN</v>
      </c>
      <c r="AF31" s="48" t="s">
        <v>143</v>
      </c>
      <c r="AG31" s="48">
        <v>2.4530677112863486E-3</v>
      </c>
      <c r="AH31" s="49">
        <v>0.27468446594982077</v>
      </c>
    </row>
    <row r="32" spans="2:34" s="49" customFormat="1" x14ac:dyDescent="0.2">
      <c r="B32" s="53"/>
      <c r="C32" s="53"/>
      <c r="D32" s="53"/>
      <c r="E32" s="70"/>
      <c r="F32" s="71"/>
      <c r="K32" s="48"/>
      <c r="Q32" s="48"/>
      <c r="R32" s="48"/>
      <c r="S32" s="48"/>
      <c r="T32" s="48"/>
      <c r="U32" s="48"/>
      <c r="V32" s="48"/>
      <c r="W32" s="48"/>
      <c r="X32" s="48"/>
      <c r="Y32" s="48"/>
      <c r="AD32" s="38" t="s">
        <v>182</v>
      </c>
      <c r="AE32" s="39" t="str">
        <f t="shared" si="0"/>
        <v>WNDTRBN</v>
      </c>
      <c r="AF32" s="69" t="s">
        <v>144</v>
      </c>
      <c r="AG32" s="48">
        <v>2.1363241345921055E-3</v>
      </c>
      <c r="AH32" s="49">
        <v>0.32637437275985665</v>
      </c>
    </row>
    <row r="33" spans="2:34" s="49" customFormat="1" x14ac:dyDescent="0.2">
      <c r="B33" s="53"/>
      <c r="C33" s="53"/>
      <c r="D33" s="53"/>
      <c r="E33" s="70"/>
      <c r="F33" s="71"/>
      <c r="K33" s="48"/>
      <c r="Q33" s="48"/>
      <c r="R33" s="48"/>
      <c r="S33" s="48"/>
      <c r="T33" s="48"/>
      <c r="U33" s="48"/>
      <c r="V33" s="48"/>
      <c r="W33" s="48"/>
      <c r="X33" s="48"/>
      <c r="Y33" s="48"/>
      <c r="AD33" s="38" t="s">
        <v>182</v>
      </c>
      <c r="AE33" s="39" t="str">
        <f t="shared" si="0"/>
        <v>WNDTRBN</v>
      </c>
      <c r="AF33" s="48" t="s">
        <v>145</v>
      </c>
      <c r="AG33" s="48">
        <v>1.8660639529435976E-3</v>
      </c>
      <c r="AH33" s="49">
        <v>0.35267560573476697</v>
      </c>
    </row>
    <row r="34" spans="2:34" s="49" customFormat="1" x14ac:dyDescent="0.2">
      <c r="B34" s="48"/>
      <c r="C34" s="53"/>
      <c r="D34" s="53"/>
      <c r="E34" s="70"/>
      <c r="F34" s="71"/>
      <c r="K34" s="48"/>
      <c r="Q34" s="48"/>
      <c r="R34" s="48"/>
      <c r="S34" s="48"/>
      <c r="T34" s="48"/>
      <c r="U34" s="48"/>
      <c r="V34" s="48"/>
      <c r="W34" s="48"/>
      <c r="X34" s="48"/>
      <c r="Y34" s="48"/>
      <c r="AD34" s="38" t="s">
        <v>182</v>
      </c>
      <c r="AE34" s="39" t="str">
        <f t="shared" si="0"/>
        <v>WNDTRBN</v>
      </c>
      <c r="AF34" s="69" t="s">
        <v>146</v>
      </c>
      <c r="AG34" s="48">
        <v>1.7487528282965712E-3</v>
      </c>
      <c r="AH34" s="49">
        <v>0.34322033691756271</v>
      </c>
    </row>
    <row r="35" spans="2:34" s="49" customFormat="1" x14ac:dyDescent="0.2">
      <c r="B35" s="53"/>
      <c r="C35" s="53"/>
      <c r="D35" s="53"/>
      <c r="E35" s="70"/>
      <c r="F35" s="71"/>
      <c r="J35" s="72"/>
      <c r="K35" s="48"/>
      <c r="Q35" s="38"/>
      <c r="R35" s="38"/>
      <c r="S35" s="39"/>
      <c r="T35" s="40"/>
      <c r="U35" s="38"/>
      <c r="V35" s="38"/>
      <c r="W35" s="38"/>
      <c r="X35" s="48"/>
      <c r="Y35" s="48"/>
      <c r="AD35" s="38" t="s">
        <v>182</v>
      </c>
      <c r="AE35" s="39" t="str">
        <f t="shared" si="0"/>
        <v>WNDTRBN</v>
      </c>
      <c r="AF35" s="48" t="s">
        <v>147</v>
      </c>
      <c r="AG35" s="48">
        <v>1.6637860863902745E-3</v>
      </c>
      <c r="AH35" s="49">
        <v>0.30308891039426522</v>
      </c>
    </row>
    <row r="36" spans="2:34" s="49" customFormat="1" x14ac:dyDescent="0.2">
      <c r="B36" s="53"/>
      <c r="C36" s="48"/>
      <c r="D36" s="53"/>
      <c r="E36" s="70"/>
      <c r="F36" s="73"/>
      <c r="G36" s="48"/>
      <c r="H36" s="48"/>
      <c r="I36" s="48"/>
      <c r="J36" s="74"/>
      <c r="K36" s="48"/>
      <c r="Q36" s="38"/>
      <c r="R36" s="38"/>
      <c r="S36" s="39"/>
      <c r="T36" s="40"/>
      <c r="U36" s="38"/>
      <c r="V36" s="38"/>
      <c r="W36" s="38"/>
      <c r="X36" s="48"/>
      <c r="Y36" s="48"/>
      <c r="AD36" s="38" t="s">
        <v>182</v>
      </c>
      <c r="AE36" s="39" t="str">
        <f t="shared" si="0"/>
        <v>WNDTRBN</v>
      </c>
      <c r="AF36" s="69" t="s">
        <v>148</v>
      </c>
      <c r="AG36" s="48">
        <v>1.8211742012316831E-3</v>
      </c>
      <c r="AH36" s="49">
        <v>0.23170381362007167</v>
      </c>
    </row>
    <row r="37" spans="2:34" s="49" customFormat="1" x14ac:dyDescent="0.2">
      <c r="B37" s="48"/>
      <c r="C37" s="48"/>
      <c r="D37" s="48"/>
      <c r="E37" s="70"/>
      <c r="F37" s="73"/>
      <c r="G37" s="48"/>
      <c r="H37" s="48"/>
      <c r="I37" s="48"/>
      <c r="J37" s="74"/>
      <c r="K37" s="48"/>
      <c r="Q37" s="48"/>
      <c r="R37" s="48"/>
      <c r="S37" s="48"/>
      <c r="T37" s="48"/>
      <c r="U37" s="53"/>
      <c r="V37" s="53"/>
      <c r="W37" s="68"/>
      <c r="X37" s="48"/>
      <c r="Y37" s="48"/>
      <c r="AD37" s="38" t="s">
        <v>182</v>
      </c>
      <c r="AE37" s="39" t="str">
        <f t="shared" si="0"/>
        <v>WNDTRBN</v>
      </c>
      <c r="AF37" s="48" t="s">
        <v>149</v>
      </c>
      <c r="AG37" s="48">
        <v>1.9153018835258307E-3</v>
      </c>
      <c r="AH37" s="49">
        <v>0.14172651612903225</v>
      </c>
    </row>
    <row r="38" spans="2:34" x14ac:dyDescent="0.2">
      <c r="F38" s="73"/>
      <c r="G38" s="46"/>
      <c r="H38" s="75"/>
      <c r="R38" s="49"/>
      <c r="T38" s="49"/>
      <c r="U38" s="57"/>
      <c r="V38" s="57"/>
      <c r="AD38" s="38" t="s">
        <v>182</v>
      </c>
      <c r="AE38" s="39" t="str">
        <f t="shared" si="0"/>
        <v>WNDTRBN</v>
      </c>
      <c r="AF38" s="69" t="s">
        <v>150</v>
      </c>
      <c r="AG38" s="48">
        <v>1.9744590518638132E-3</v>
      </c>
      <c r="AH38" s="48">
        <v>5.3895483870967743E-2</v>
      </c>
    </row>
    <row r="39" spans="2:34" x14ac:dyDescent="0.2">
      <c r="H39" s="75"/>
      <c r="AD39" s="38" t="s">
        <v>182</v>
      </c>
      <c r="AE39" s="39" t="str">
        <f t="shared" si="0"/>
        <v>WNDTRBN</v>
      </c>
      <c r="AF39" s="48" t="s">
        <v>151</v>
      </c>
      <c r="AG39" s="48">
        <v>2.1878436160058393E-3</v>
      </c>
      <c r="AH39" s="48">
        <v>2.6301935483870969E-3</v>
      </c>
    </row>
    <row r="40" spans="2:34" x14ac:dyDescent="0.2">
      <c r="B40" s="76"/>
      <c r="C40" s="48" t="s">
        <v>82</v>
      </c>
      <c r="H40" s="75"/>
      <c r="AD40" s="38" t="s">
        <v>182</v>
      </c>
      <c r="AE40" s="39" t="str">
        <f t="shared" si="0"/>
        <v>WNDTRBN</v>
      </c>
      <c r="AF40" s="69" t="s">
        <v>152</v>
      </c>
      <c r="AG40" s="48">
        <v>2.3889741533883327E-3</v>
      </c>
      <c r="AH40" s="48">
        <v>0</v>
      </c>
    </row>
    <row r="41" spans="2:34" x14ac:dyDescent="0.2">
      <c r="B41" s="77"/>
      <c r="C41" s="48" t="s">
        <v>83</v>
      </c>
      <c r="H41" s="75"/>
      <c r="AD41" s="38" t="s">
        <v>182</v>
      </c>
      <c r="AE41" s="39" t="str">
        <f t="shared" si="0"/>
        <v>WNDTRBN</v>
      </c>
      <c r="AF41" s="48" t="s">
        <v>153</v>
      </c>
      <c r="AG41" s="48">
        <v>2.4063426997311056E-3</v>
      </c>
      <c r="AH41" s="48">
        <v>0</v>
      </c>
    </row>
    <row r="42" spans="2:34" x14ac:dyDescent="0.2">
      <c r="E42" s="48" t="s">
        <v>89</v>
      </c>
      <c r="F42" s="48" t="s">
        <v>90</v>
      </c>
      <c r="H42" s="75"/>
      <c r="AD42" s="38" t="s">
        <v>182</v>
      </c>
      <c r="AE42" s="39" t="str">
        <f t="shared" si="0"/>
        <v>WNDTRBN</v>
      </c>
      <c r="AF42" s="69" t="s">
        <v>154</v>
      </c>
      <c r="AG42" s="48">
        <v>2.5925256698099051E-3</v>
      </c>
      <c r="AH42" s="48">
        <v>0</v>
      </c>
    </row>
    <row r="43" spans="2:34" x14ac:dyDescent="0.2">
      <c r="AD43" s="38" t="s">
        <v>182</v>
      </c>
      <c r="AE43" s="39" t="str">
        <f t="shared" si="0"/>
        <v>WNDTRBN</v>
      </c>
      <c r="AF43" s="48" t="s">
        <v>155</v>
      </c>
      <c r="AG43" s="48">
        <v>2.9724559200622644E-3</v>
      </c>
      <c r="AH43" s="48">
        <v>0</v>
      </c>
    </row>
    <row r="44" spans="2:34" x14ac:dyDescent="0.2">
      <c r="E44" s="48" t="s">
        <v>91</v>
      </c>
      <c r="F44" s="48">
        <f>24*365</f>
        <v>8760</v>
      </c>
      <c r="AD44" s="38" t="s">
        <v>182</v>
      </c>
      <c r="AE44" s="39" t="str">
        <f t="shared" si="0"/>
        <v>WNDTRBN</v>
      </c>
      <c r="AF44" s="69" t="s">
        <v>156</v>
      </c>
      <c r="AG44" s="48">
        <v>3.3823091606694387E-3</v>
      </c>
      <c r="AH44" s="48">
        <v>0</v>
      </c>
    </row>
    <row r="45" spans="2:34" x14ac:dyDescent="0.2">
      <c r="E45" s="46"/>
      <c r="AD45" s="38" t="s">
        <v>182</v>
      </c>
      <c r="AE45" s="39" t="str">
        <f t="shared" si="0"/>
        <v>WNDTRBN</v>
      </c>
      <c r="AF45" s="38" t="s">
        <v>157</v>
      </c>
      <c r="AG45" s="48">
        <v>3.030827569122875E-3</v>
      </c>
      <c r="AH45" s="48">
        <v>0</v>
      </c>
    </row>
    <row r="46" spans="2:34" x14ac:dyDescent="0.2">
      <c r="AD46" s="38" t="s">
        <v>182</v>
      </c>
      <c r="AE46" s="39" t="str">
        <f t="shared" si="0"/>
        <v>WNDTRBN</v>
      </c>
      <c r="AF46" s="38" t="s">
        <v>158</v>
      </c>
      <c r="AG46" s="48">
        <v>2.7479296595765089E-3</v>
      </c>
      <c r="AH46" s="48">
        <v>0</v>
      </c>
    </row>
    <row r="47" spans="2:34" x14ac:dyDescent="0.2">
      <c r="AD47" s="38" t="s">
        <v>182</v>
      </c>
      <c r="AE47" s="39" t="str">
        <f t="shared" si="0"/>
        <v>WNDTRBN</v>
      </c>
      <c r="AF47" s="38" t="s">
        <v>159</v>
      </c>
      <c r="AG47" s="48">
        <v>2.5373694178364601E-3</v>
      </c>
      <c r="AH47" s="48">
        <v>0</v>
      </c>
    </row>
    <row r="48" spans="2:34" x14ac:dyDescent="0.2">
      <c r="AD48" s="38" t="s">
        <v>182</v>
      </c>
      <c r="AE48" s="39" t="str">
        <f t="shared" si="0"/>
        <v>WNDTRBN</v>
      </c>
      <c r="AF48" s="38" t="s">
        <v>160</v>
      </c>
      <c r="AG48" s="48">
        <v>2.3562266756271813E-3</v>
      </c>
      <c r="AH48" s="48">
        <v>0</v>
      </c>
    </row>
    <row r="49" spans="2:34" x14ac:dyDescent="0.2">
      <c r="AD49" s="38" t="s">
        <v>182</v>
      </c>
      <c r="AE49" s="39" t="str">
        <f t="shared" si="0"/>
        <v>WNDTRBN</v>
      </c>
      <c r="AF49" s="38" t="s">
        <v>161</v>
      </c>
      <c r="AG49" s="48">
        <v>2.2781297107044287E-3</v>
      </c>
      <c r="AH49" s="48">
        <v>0</v>
      </c>
    </row>
    <row r="50" spans="2:34" x14ac:dyDescent="0.2">
      <c r="AD50" s="38" t="s">
        <v>182</v>
      </c>
      <c r="AE50" s="39" t="str">
        <f t="shared" si="0"/>
        <v>WNDTRBN</v>
      </c>
      <c r="AF50" s="38" t="s">
        <v>162</v>
      </c>
      <c r="AG50" s="48">
        <v>2.3484464756202451E-3</v>
      </c>
      <c r="AH50" s="48">
        <v>0</v>
      </c>
    </row>
    <row r="51" spans="2:34" x14ac:dyDescent="0.2">
      <c r="AD51" s="38" t="s">
        <v>182</v>
      </c>
      <c r="AE51" s="39" t="str">
        <f t="shared" si="0"/>
        <v>WNDTRBN</v>
      </c>
      <c r="AF51" s="38" t="s">
        <v>163</v>
      </c>
      <c r="AG51" s="48">
        <v>2.4124360007773756E-3</v>
      </c>
      <c r="AH51" s="48">
        <v>6.4190919952210254E-3</v>
      </c>
    </row>
    <row r="52" spans="2:34" x14ac:dyDescent="0.2">
      <c r="B52" s="79" t="s">
        <v>187</v>
      </c>
      <c r="C52" s="79"/>
      <c r="D52"/>
      <c r="E52"/>
      <c r="F52"/>
      <c r="G52"/>
      <c r="H52"/>
      <c r="I52"/>
      <c r="J52"/>
      <c r="K52"/>
      <c r="L52"/>
      <c r="AD52" s="38" t="s">
        <v>182</v>
      </c>
      <c r="AE52" s="39" t="str">
        <f t="shared" si="0"/>
        <v>WNDTRBN</v>
      </c>
      <c r="AF52" s="38" t="s">
        <v>164</v>
      </c>
      <c r="AG52" s="48">
        <v>2.2399725827334173E-3</v>
      </c>
      <c r="AH52" s="48">
        <v>7.0838474313022717E-2</v>
      </c>
    </row>
    <row r="53" spans="2:34" x14ac:dyDescent="0.2">
      <c r="B53" s="79"/>
      <c r="C53" s="79"/>
      <c r="D53"/>
      <c r="E53"/>
      <c r="F53"/>
      <c r="G53"/>
      <c r="H53"/>
      <c r="I53"/>
      <c r="J53"/>
      <c r="K53"/>
      <c r="L53"/>
      <c r="AD53" s="38"/>
      <c r="AE53" s="39"/>
      <c r="AF53" s="38"/>
    </row>
    <row r="54" spans="2:34" ht="13.5" thickBot="1" x14ac:dyDescent="0.25">
      <c r="B54" s="80" t="s">
        <v>188</v>
      </c>
      <c r="C54" s="80" t="s">
        <v>189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D54" s="38" t="s">
        <v>182</v>
      </c>
      <c r="AE54" s="39" t="str">
        <f t="shared" si="0"/>
        <v>WNDTRBN</v>
      </c>
      <c r="AF54" s="38" t="s">
        <v>165</v>
      </c>
      <c r="AG54" s="48">
        <v>2.3663331133225518E-3</v>
      </c>
      <c r="AH54" s="48">
        <v>0.15999428793309439</v>
      </c>
    </row>
    <row r="55" spans="2:34" x14ac:dyDescent="0.2">
      <c r="B55" t="s">
        <v>121</v>
      </c>
      <c r="C55" t="s">
        <v>94</v>
      </c>
      <c r="D55" t="s">
        <v>191</v>
      </c>
      <c r="E55" s="1" t="s">
        <v>192</v>
      </c>
      <c r="F55">
        <v>0</v>
      </c>
      <c r="G55">
        <v>0</v>
      </c>
      <c r="H55"/>
      <c r="I55"/>
      <c r="J55"/>
      <c r="K55"/>
      <c r="L55"/>
      <c r="AD55" s="38" t="s">
        <v>182</v>
      </c>
      <c r="AE55" s="39" t="str">
        <f t="shared" si="0"/>
        <v>WNDTRBN</v>
      </c>
      <c r="AF55" s="38" t="s">
        <v>166</v>
      </c>
      <c r="AG55" s="48">
        <v>2.8966005765197612E-3</v>
      </c>
      <c r="AH55" s="48">
        <v>0.25343209199522099</v>
      </c>
    </row>
    <row r="56" spans="2:34" x14ac:dyDescent="0.2">
      <c r="B56" t="s">
        <v>121</v>
      </c>
      <c r="C56" t="s">
        <v>93</v>
      </c>
      <c r="D56" t="s">
        <v>191</v>
      </c>
      <c r="E56" s="1" t="s">
        <v>192</v>
      </c>
      <c r="F56">
        <v>0</v>
      </c>
      <c r="G56">
        <v>0</v>
      </c>
      <c r="H56"/>
      <c r="I56"/>
      <c r="J56"/>
      <c r="K56"/>
      <c r="L56"/>
      <c r="AD56" s="38" t="s">
        <v>182</v>
      </c>
      <c r="AE56" s="39" t="str">
        <f t="shared" si="0"/>
        <v>WNDTRBN</v>
      </c>
      <c r="AF56" s="38" t="s">
        <v>167</v>
      </c>
      <c r="AG56" s="48">
        <v>3.1152079955055634E-3</v>
      </c>
      <c r="AH56" s="48">
        <v>0.32960197968936678</v>
      </c>
    </row>
    <row r="57" spans="2:34" x14ac:dyDescent="0.2">
      <c r="B57" t="s">
        <v>121</v>
      </c>
      <c r="C57" t="s">
        <v>65</v>
      </c>
      <c r="D57" t="s">
        <v>191</v>
      </c>
      <c r="E57" s="1" t="s">
        <v>192</v>
      </c>
      <c r="F57">
        <v>0</v>
      </c>
      <c r="G57">
        <v>0</v>
      </c>
      <c r="H57"/>
      <c r="I57"/>
      <c r="J57"/>
      <c r="K57"/>
      <c r="L57"/>
      <c r="AD57" s="38" t="s">
        <v>182</v>
      </c>
      <c r="AE57" s="39" t="str">
        <f t="shared" si="0"/>
        <v>WNDTRBN</v>
      </c>
      <c r="AF57" s="38" t="s">
        <v>168</v>
      </c>
      <c r="AG57" s="48">
        <v>3.1182259692196785E-3</v>
      </c>
      <c r="AH57" s="48">
        <v>0.37592762246117079</v>
      </c>
    </row>
    <row r="58" spans="2:34" x14ac:dyDescent="0.2">
      <c r="B58" t="s">
        <v>121</v>
      </c>
      <c r="C58" t="s">
        <v>190</v>
      </c>
      <c r="D58" t="s">
        <v>191</v>
      </c>
      <c r="E58" s="1" t="s">
        <v>192</v>
      </c>
      <c r="F58">
        <v>0</v>
      </c>
      <c r="G58">
        <v>0</v>
      </c>
      <c r="H58"/>
      <c r="I58"/>
      <c r="J58"/>
      <c r="K58"/>
      <c r="L58"/>
      <c r="AD58" s="38" t="s">
        <v>182</v>
      </c>
      <c r="AE58" s="39" t="str">
        <f t="shared" si="0"/>
        <v>WNDTRBN</v>
      </c>
      <c r="AF58" s="38" t="s">
        <v>169</v>
      </c>
      <c r="AG58" s="48">
        <v>3.0731870914146721E-3</v>
      </c>
      <c r="AH58" s="48">
        <v>0.38776096057347664</v>
      </c>
    </row>
    <row r="59" spans="2:34" x14ac:dyDescent="0.2">
      <c r="B59" t="s">
        <v>121</v>
      </c>
      <c r="C59" t="s">
        <v>102</v>
      </c>
      <c r="D59" t="s">
        <v>191</v>
      </c>
      <c r="E59" s="1" t="s">
        <v>192</v>
      </c>
      <c r="F59">
        <v>0</v>
      </c>
      <c r="G59">
        <v>0</v>
      </c>
      <c r="H59"/>
      <c r="I59"/>
      <c r="J59"/>
      <c r="K59"/>
      <c r="L59"/>
      <c r="AD59" s="38" t="s">
        <v>182</v>
      </c>
      <c r="AE59" s="39" t="str">
        <f t="shared" si="0"/>
        <v>WNDTRBN</v>
      </c>
      <c r="AF59" s="38" t="s">
        <v>170</v>
      </c>
      <c r="AG59" s="48">
        <v>3.1429734317050739E-3</v>
      </c>
      <c r="AH59" s="48">
        <v>0.36426783751493425</v>
      </c>
    </row>
    <row r="60" spans="2:34" x14ac:dyDescent="0.2">
      <c r="B60" t="s">
        <v>121</v>
      </c>
      <c r="C60" t="s">
        <v>105</v>
      </c>
      <c r="D60" t="s">
        <v>191</v>
      </c>
      <c r="E60" s="1" t="s">
        <v>192</v>
      </c>
      <c r="F60">
        <v>0</v>
      </c>
      <c r="G60">
        <v>0</v>
      </c>
      <c r="H60"/>
      <c r="I60"/>
      <c r="J60"/>
      <c r="K60"/>
      <c r="L60"/>
      <c r="AD60" s="38" t="s">
        <v>182</v>
      </c>
      <c r="AE60" s="39" t="str">
        <f t="shared" si="0"/>
        <v>WNDTRBN</v>
      </c>
      <c r="AF60" s="38" t="s">
        <v>171</v>
      </c>
      <c r="AG60" s="48">
        <v>3.4472722790434688E-3</v>
      </c>
      <c r="AH60" s="48">
        <v>0.31009156033452806</v>
      </c>
    </row>
    <row r="61" spans="2:34" x14ac:dyDescent="0.2">
      <c r="B61" t="s">
        <v>121</v>
      </c>
      <c r="C61" t="s">
        <v>66</v>
      </c>
      <c r="D61" t="s">
        <v>191</v>
      </c>
      <c r="E61" s="1" t="s">
        <v>192</v>
      </c>
      <c r="F61">
        <v>0</v>
      </c>
      <c r="G61">
        <v>0</v>
      </c>
      <c r="H61"/>
      <c r="I61"/>
      <c r="J61"/>
      <c r="K61"/>
      <c r="L61"/>
      <c r="AD61" s="38" t="s">
        <v>182</v>
      </c>
      <c r="AE61" s="39" t="str">
        <f t="shared" si="0"/>
        <v>WNDTRBN</v>
      </c>
      <c r="AF61" s="38" t="s">
        <v>172</v>
      </c>
      <c r="AG61" s="48">
        <v>3.8185983771107991E-3</v>
      </c>
      <c r="AH61" s="48">
        <v>0.23188419952210276</v>
      </c>
    </row>
    <row r="62" spans="2:34" x14ac:dyDescent="0.2">
      <c r="B62" t="s">
        <v>121</v>
      </c>
      <c r="C62" t="s">
        <v>103</v>
      </c>
      <c r="D62" t="s">
        <v>191</v>
      </c>
      <c r="E62" s="1" t="s">
        <v>192</v>
      </c>
      <c r="F62">
        <v>0</v>
      </c>
      <c r="G62">
        <v>0</v>
      </c>
      <c r="H62"/>
      <c r="I62"/>
      <c r="J62"/>
      <c r="K62"/>
      <c r="L62"/>
      <c r="AD62" s="38" t="s">
        <v>182</v>
      </c>
      <c r="AE62" s="39" t="str">
        <f t="shared" si="0"/>
        <v>WNDTRBN</v>
      </c>
      <c r="AF62" s="38" t="s">
        <v>173</v>
      </c>
      <c r="AG62" s="48">
        <v>4.2486300009030951E-3</v>
      </c>
      <c r="AH62" s="48">
        <v>0.13618056033452808</v>
      </c>
    </row>
    <row r="63" spans="2:34" x14ac:dyDescent="0.2">
      <c r="AD63" s="38" t="s">
        <v>182</v>
      </c>
      <c r="AE63" s="39" t="str">
        <f t="shared" si="0"/>
        <v>WNDTRBN</v>
      </c>
      <c r="AF63" s="38" t="s">
        <v>174</v>
      </c>
      <c r="AG63" s="48">
        <v>4.5602314239953819E-3</v>
      </c>
      <c r="AH63" s="48">
        <v>4.9357593787335743E-2</v>
      </c>
    </row>
    <row r="64" spans="2:34" x14ac:dyDescent="0.2">
      <c r="AD64" s="38" t="s">
        <v>182</v>
      </c>
      <c r="AE64" s="39" t="str">
        <f t="shared" si="0"/>
        <v>WNDTRBN</v>
      </c>
      <c r="AF64" s="38" t="s">
        <v>175</v>
      </c>
      <c r="AG64" s="48">
        <v>4.7366406344324643E-3</v>
      </c>
      <c r="AH64" s="48">
        <v>7.5268817204301086E-6</v>
      </c>
    </row>
    <row r="65" spans="30:34" x14ac:dyDescent="0.2">
      <c r="AD65" s="38" t="s">
        <v>182</v>
      </c>
      <c r="AE65" s="39" t="str">
        <f t="shared" si="0"/>
        <v>WNDTRBN</v>
      </c>
      <c r="AF65" s="38" t="s">
        <v>176</v>
      </c>
      <c r="AG65" s="48">
        <v>4.836532938944621E-3</v>
      </c>
      <c r="AH65" s="48">
        <v>0</v>
      </c>
    </row>
    <row r="66" spans="30:34" x14ac:dyDescent="0.2">
      <c r="AD66" s="38" t="s">
        <v>182</v>
      </c>
      <c r="AE66" s="39" t="str">
        <f t="shared" si="0"/>
        <v>WNDTRBN</v>
      </c>
      <c r="AF66" s="38" t="s">
        <v>177</v>
      </c>
      <c r="AG66" s="48">
        <v>4.6939429624645087E-3</v>
      </c>
      <c r="AH66" s="48">
        <v>0</v>
      </c>
    </row>
    <row r="67" spans="30:34" x14ac:dyDescent="0.2">
      <c r="AD67" s="38" t="s">
        <v>182</v>
      </c>
      <c r="AE67" s="39" t="str">
        <f t="shared" si="0"/>
        <v>WNDTRBN</v>
      </c>
      <c r="AF67" s="38" t="s">
        <v>178</v>
      </c>
      <c r="AG67" s="48">
        <v>4.4878132380958523E-3</v>
      </c>
      <c r="AH67" s="48">
        <v>0</v>
      </c>
    </row>
    <row r="68" spans="30:34" x14ac:dyDescent="0.2">
      <c r="AD68" s="38" t="s">
        <v>182</v>
      </c>
      <c r="AE68" s="39" t="str">
        <f t="shared" si="0"/>
        <v>WNDTRBN</v>
      </c>
      <c r="AF68" s="38" t="s">
        <v>179</v>
      </c>
      <c r="AG68" s="48">
        <v>4.0447641835712027E-3</v>
      </c>
      <c r="AH68" s="48">
        <v>0</v>
      </c>
    </row>
    <row r="69" spans="30:34" x14ac:dyDescent="0.2">
      <c r="AD69" s="38" t="s">
        <v>182</v>
      </c>
      <c r="AE69" s="39" t="str">
        <f t="shared" si="0"/>
        <v>WNDTRBN</v>
      </c>
      <c r="AF69" s="38" t="s">
        <v>180</v>
      </c>
      <c r="AG69" s="48">
        <v>3.5120337976736293E-3</v>
      </c>
      <c r="AH69" s="48">
        <v>0</v>
      </c>
    </row>
    <row r="70" spans="30:34" x14ac:dyDescent="0.2">
      <c r="AD70" s="38"/>
      <c r="AE70" s="53"/>
    </row>
    <row r="71" spans="30:34" x14ac:dyDescent="0.2">
      <c r="AD71" s="38"/>
      <c r="AE71" s="53"/>
    </row>
    <row r="72" spans="30:34" x14ac:dyDescent="0.2">
      <c r="AD72" s="38"/>
      <c r="AE72" s="53"/>
    </row>
    <row r="73" spans="30:34" x14ac:dyDescent="0.2">
      <c r="AD73" s="38"/>
      <c r="AE73" s="53"/>
    </row>
    <row r="74" spans="30:34" x14ac:dyDescent="0.2">
      <c r="AD74" s="38"/>
      <c r="AE74" s="53"/>
    </row>
    <row r="75" spans="30:34" x14ac:dyDescent="0.2">
      <c r="AD75" s="38"/>
      <c r="AE75" s="53"/>
    </row>
    <row r="76" spans="30:34" x14ac:dyDescent="0.2">
      <c r="AD76" s="38"/>
      <c r="AE76" s="53"/>
    </row>
    <row r="77" spans="30:34" x14ac:dyDescent="0.2">
      <c r="AD77" s="38"/>
      <c r="AE77" s="53"/>
    </row>
    <row r="78" spans="30:34" x14ac:dyDescent="0.2">
      <c r="AD78" s="38"/>
      <c r="AE78" s="53"/>
    </row>
    <row r="79" spans="30:34" x14ac:dyDescent="0.2">
      <c r="AD79" s="38"/>
      <c r="AE79" s="53"/>
    </row>
    <row r="80" spans="30:34" x14ac:dyDescent="0.2">
      <c r="AD80" s="38"/>
      <c r="AE80" s="53"/>
    </row>
    <row r="81" spans="30:31" x14ac:dyDescent="0.2">
      <c r="AD81" s="38"/>
      <c r="AE81" s="53"/>
    </row>
    <row r="82" spans="30:31" x14ac:dyDescent="0.2">
      <c r="AD82" s="38"/>
      <c r="AE82" s="53"/>
    </row>
    <row r="83" spans="30:31" x14ac:dyDescent="0.2">
      <c r="AD83" s="38"/>
      <c r="AE83" s="53"/>
    </row>
    <row r="84" spans="30:31" x14ac:dyDescent="0.2">
      <c r="AD84" s="38"/>
      <c r="AE84" s="53"/>
    </row>
    <row r="85" spans="30:31" x14ac:dyDescent="0.2">
      <c r="AD85" s="38"/>
      <c r="AE85" s="53"/>
    </row>
    <row r="86" spans="30:31" x14ac:dyDescent="0.2">
      <c r="AD86" s="38"/>
      <c r="AE86" s="53"/>
    </row>
    <row r="87" spans="30:31" x14ac:dyDescent="0.2">
      <c r="AD87" s="38"/>
      <c r="AE87" s="53"/>
    </row>
    <row r="88" spans="30:31" x14ac:dyDescent="0.2">
      <c r="AD88" s="38"/>
      <c r="AE88" s="53"/>
    </row>
    <row r="89" spans="30:31" x14ac:dyDescent="0.2">
      <c r="AD89" s="38"/>
      <c r="AE89" s="53"/>
    </row>
    <row r="90" spans="30:31" x14ac:dyDescent="0.2">
      <c r="AD90" s="38"/>
      <c r="AE90" s="53"/>
    </row>
    <row r="91" spans="30:31" x14ac:dyDescent="0.2">
      <c r="AD91" s="38"/>
      <c r="AE91" s="53"/>
    </row>
    <row r="92" spans="30:31" x14ac:dyDescent="0.2">
      <c r="AD92" s="38"/>
      <c r="AE92" s="53"/>
    </row>
    <row r="93" spans="30:31" x14ac:dyDescent="0.2">
      <c r="AD93" s="38"/>
      <c r="AE93" s="53"/>
    </row>
    <row r="94" spans="30:31" x14ac:dyDescent="0.2">
      <c r="AD94" s="38"/>
      <c r="AE94" s="53"/>
    </row>
    <row r="95" spans="30:31" x14ac:dyDescent="0.2">
      <c r="AD95" s="38"/>
      <c r="AE95" s="53"/>
    </row>
    <row r="96" spans="30:31" x14ac:dyDescent="0.2">
      <c r="AD96" s="38"/>
      <c r="AE96" s="53"/>
    </row>
    <row r="97" spans="30:31" x14ac:dyDescent="0.2">
      <c r="AD97" s="38"/>
      <c r="AE97" s="53"/>
    </row>
    <row r="98" spans="30:31" x14ac:dyDescent="0.2">
      <c r="AD98" s="38"/>
      <c r="AE98" s="53"/>
    </row>
    <row r="99" spans="30:31" x14ac:dyDescent="0.2">
      <c r="AD99" s="38"/>
      <c r="AE99" s="53"/>
    </row>
    <row r="100" spans="30:31" x14ac:dyDescent="0.2">
      <c r="AD100" s="38"/>
      <c r="AE100" s="53"/>
    </row>
    <row r="101" spans="30:31" x14ac:dyDescent="0.2">
      <c r="AD101" s="38"/>
      <c r="AE101" s="53"/>
    </row>
    <row r="102" spans="30:31" x14ac:dyDescent="0.2">
      <c r="AD102" s="38"/>
      <c r="AE102" s="53"/>
    </row>
    <row r="103" spans="30:31" x14ac:dyDescent="0.2">
      <c r="AD103" s="38"/>
      <c r="AE103" s="53"/>
    </row>
    <row r="104" spans="30:31" x14ac:dyDescent="0.2">
      <c r="AD104" s="38"/>
      <c r="AE104" s="53"/>
    </row>
    <row r="105" spans="30:31" x14ac:dyDescent="0.2">
      <c r="AD105" s="38"/>
      <c r="AE105" s="53"/>
    </row>
    <row r="106" spans="30:31" x14ac:dyDescent="0.2">
      <c r="AD106" s="38"/>
      <c r="AE106" s="53"/>
    </row>
    <row r="107" spans="30:31" x14ac:dyDescent="0.2">
      <c r="AD107" s="38"/>
      <c r="AE107" s="53"/>
    </row>
    <row r="108" spans="30:31" x14ac:dyDescent="0.2">
      <c r="AD108" s="38"/>
      <c r="AE108" s="53"/>
    </row>
    <row r="109" spans="30:31" x14ac:dyDescent="0.2">
      <c r="AD109" s="38"/>
      <c r="AE109" s="53"/>
    </row>
    <row r="110" spans="30:31" x14ac:dyDescent="0.2">
      <c r="AD110" s="38"/>
      <c r="AE110" s="53"/>
    </row>
    <row r="111" spans="30:31" x14ac:dyDescent="0.2">
      <c r="AD111" s="38"/>
      <c r="AE111" s="53"/>
    </row>
    <row r="112" spans="30:31" x14ac:dyDescent="0.2">
      <c r="AD112" s="38"/>
      <c r="AE112" s="53"/>
    </row>
    <row r="113" spans="30:31" x14ac:dyDescent="0.2">
      <c r="AD113" s="38"/>
      <c r="AE113" s="53"/>
    </row>
    <row r="114" spans="30:31" x14ac:dyDescent="0.2">
      <c r="AD114" s="38"/>
      <c r="AE114" s="53"/>
    </row>
    <row r="115" spans="30:31" x14ac:dyDescent="0.2">
      <c r="AD115" s="38"/>
      <c r="AE115" s="53"/>
    </row>
    <row r="116" spans="30:31" x14ac:dyDescent="0.2">
      <c r="AD116" s="38"/>
      <c r="AE116" s="53"/>
    </row>
    <row r="117" spans="30:31" x14ac:dyDescent="0.2">
      <c r="AD117" s="38"/>
      <c r="AE117" s="53"/>
    </row>
    <row r="118" spans="30:31" x14ac:dyDescent="0.2">
      <c r="AD118" s="38"/>
      <c r="AE118" s="53"/>
    </row>
    <row r="119" spans="30:31" x14ac:dyDescent="0.2">
      <c r="AD119" s="38"/>
      <c r="AE119" s="53"/>
    </row>
    <row r="120" spans="30:31" x14ac:dyDescent="0.2">
      <c r="AD120" s="38"/>
      <c r="AE120" s="53"/>
    </row>
    <row r="121" spans="30:31" x14ac:dyDescent="0.2">
      <c r="AD121" s="38"/>
      <c r="AE121" s="53"/>
    </row>
    <row r="122" spans="30:31" x14ac:dyDescent="0.2">
      <c r="AD122" s="38"/>
      <c r="AE122" s="53"/>
    </row>
    <row r="123" spans="30:31" x14ac:dyDescent="0.2">
      <c r="AD123" s="38"/>
      <c r="AE123" s="53"/>
    </row>
    <row r="124" spans="30:31" x14ac:dyDescent="0.2">
      <c r="AD124" s="38"/>
      <c r="AE124" s="53"/>
    </row>
    <row r="125" spans="30:31" x14ac:dyDescent="0.2">
      <c r="AD125" s="38"/>
      <c r="AE125" s="53"/>
    </row>
    <row r="126" spans="30:31" x14ac:dyDescent="0.2">
      <c r="AD126" s="38"/>
      <c r="AE126" s="53"/>
    </row>
    <row r="127" spans="30:31" x14ac:dyDescent="0.2">
      <c r="AD127" s="38"/>
      <c r="AE127" s="53"/>
    </row>
    <row r="128" spans="30:31" x14ac:dyDescent="0.2">
      <c r="AD128" s="38"/>
      <c r="AE128" s="53"/>
    </row>
    <row r="129" spans="30:31" x14ac:dyDescent="0.2">
      <c r="AD129" s="38"/>
      <c r="AE129" s="53"/>
    </row>
    <row r="130" spans="30:31" x14ac:dyDescent="0.2">
      <c r="AD130" s="38"/>
      <c r="AE130" s="53"/>
    </row>
    <row r="131" spans="30:31" x14ac:dyDescent="0.2">
      <c r="AD131" s="38"/>
      <c r="AE131" s="53"/>
    </row>
    <row r="132" spans="30:31" x14ac:dyDescent="0.2">
      <c r="AD132" s="38"/>
      <c r="AE132" s="53"/>
    </row>
    <row r="133" spans="30:31" x14ac:dyDescent="0.2">
      <c r="AD133" s="38"/>
      <c r="AE133" s="53"/>
    </row>
    <row r="134" spans="30:31" x14ac:dyDescent="0.2">
      <c r="AD134" s="38"/>
      <c r="AE134" s="53"/>
    </row>
    <row r="135" spans="30:31" x14ac:dyDescent="0.2">
      <c r="AD135" s="38"/>
      <c r="AE135" s="53"/>
    </row>
    <row r="136" spans="30:31" x14ac:dyDescent="0.2">
      <c r="AD136" s="38"/>
      <c r="AE136" s="53"/>
    </row>
    <row r="137" spans="30:31" x14ac:dyDescent="0.2">
      <c r="AD137" s="38"/>
      <c r="AE137" s="53"/>
    </row>
    <row r="138" spans="30:31" x14ac:dyDescent="0.2">
      <c r="AD138" s="38"/>
      <c r="AE138" s="53"/>
    </row>
    <row r="139" spans="30:31" x14ac:dyDescent="0.2">
      <c r="AD139" s="38"/>
      <c r="AE139" s="53"/>
    </row>
    <row r="140" spans="30:31" x14ac:dyDescent="0.2">
      <c r="AD140" s="38"/>
      <c r="AE140" s="53"/>
    </row>
    <row r="141" spans="30:31" x14ac:dyDescent="0.2">
      <c r="AD141" s="38"/>
      <c r="AE141" s="53"/>
    </row>
    <row r="142" spans="30:31" x14ac:dyDescent="0.2">
      <c r="AD142" s="38"/>
      <c r="AE142" s="53"/>
    </row>
    <row r="143" spans="30:31" x14ac:dyDescent="0.2">
      <c r="AD143" s="38"/>
      <c r="AE143" s="53"/>
    </row>
    <row r="144" spans="30:31" x14ac:dyDescent="0.2">
      <c r="AD144" s="38"/>
      <c r="AE144" s="53"/>
    </row>
    <row r="145" spans="30:31" x14ac:dyDescent="0.2">
      <c r="AD145" s="38"/>
      <c r="AE145" s="53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2026-01-08T17:51:27Z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