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CF0000B-F091-4853-8725-B85E8104F93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7" l="1"/>
  <c r="B41" i="7"/>
  <c r="D40" i="7"/>
  <c r="D39" i="7"/>
  <c r="C39" i="7"/>
  <c r="D37" i="7"/>
  <c r="B37" i="7"/>
  <c r="C36" i="7"/>
  <c r="B36" i="7"/>
  <c r="D38" i="7"/>
  <c r="C38" i="7"/>
  <c r="B38" i="7"/>
  <c r="D35" i="7"/>
  <c r="D34" i="7"/>
  <c r="C40" i="7"/>
  <c r="B40" i="7"/>
  <c r="C37" i="7"/>
  <c r="B39" i="7"/>
  <c r="D23" i="7"/>
  <c r="D21" i="7"/>
  <c r="B33" i="7"/>
  <c r="C35" i="7"/>
  <c r="B35" i="7"/>
  <c r="C34" i="7"/>
  <c r="B34" i="7"/>
  <c r="D33" i="7"/>
  <c r="D31" i="7"/>
  <c r="D30" i="7"/>
  <c r="D28" i="7"/>
  <c r="D22" i="7"/>
  <c r="B32" i="7"/>
  <c r="B30" i="7"/>
  <c r="B31" i="7"/>
  <c r="B29" i="7"/>
  <c r="D19" i="6"/>
  <c r="C26" i="7" s="1"/>
  <c r="D20" i="6"/>
  <c r="C28" i="7" s="1"/>
  <c r="B19" i="6"/>
  <c r="B20" i="6"/>
  <c r="C25" i="7"/>
  <c r="B18" i="6"/>
  <c r="B28" i="7"/>
  <c r="B27" i="7"/>
  <c r="B26" i="7"/>
  <c r="B25" i="7"/>
  <c r="D18" i="6"/>
  <c r="D17" i="6"/>
  <c r="B23" i="7"/>
  <c r="B24" i="7"/>
  <c r="B22" i="7"/>
  <c r="C24" i="7"/>
  <c r="C22" i="7"/>
  <c r="B21" i="7"/>
  <c r="Q18" i="6"/>
  <c r="D2" i="7"/>
  <c r="Q17" i="6"/>
  <c r="B17" i="6"/>
  <c r="C27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AB19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9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9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sharedStrings.xml><?xml version="1.0" encoding="utf-8"?>
<sst xmlns="http://schemas.openxmlformats.org/spreadsheetml/2006/main" count="364" uniqueCount="172">
  <si>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</si>
  <si>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</si>
  <si>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</si>
  <si>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</si>
  <si>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</si>
  <si>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</si>
  <si>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</si>
  <si>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</si>
  <si>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</si>
  <si>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</si>
  <si>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</si>
  <si>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</si>
  <si>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</si>
  <si>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</si>
  <si>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</si>
  <si>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</si>
  <si>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</si>
  <si>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</si>
  <si>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</si>
  <si>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</si>
  <si>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</si>
  <si>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</si>
  <si>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</si>
  <si>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</si>
  <si>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</si>
  <si>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</si>
  <si>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</si>
  <si>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</si>
  <si>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</si>
  <si>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</si>
  <si>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</si>
  <si>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</si>
  <si>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</si>
  <si>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</si>
  <si>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</si>
  <si>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</si>
  <si>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</si>
  <si>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</si>
  <si>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</si>
  <si>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</si>
  <si>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</si>
  <si>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</si>
  <si>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</si>
  <si>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</si>
  <si>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</si>
  <si>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</si>
  <si>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</si>
  <si>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</si>
  <si>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</si>
  <si>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</si>
  <si>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</si>
  <si>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</si>
  <si>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</si>
  <si>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</si>
  <si>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</si>
  <si>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</si>
  <si>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</si>
  <si>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</si>
  <si>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</si>
  <si>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</si>
  <si>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</si>
  <si>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</si>
  <si>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</si>
  <si>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</si>
  <si>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</si>
  <si>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</si>
  <si>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</si>
  <si>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</si>
  <si>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</si>
  <si>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</si>
  <si>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</si>
  <si>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</si>
  <si>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</si>
  <si>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</si>
  <si>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</si>
  <si>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</si>
  <si>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</si>
  <si>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</si>
  <si>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</si>
  <si>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</si>
  <si>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</si>
  <si>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</si>
  <si>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</si>
  <si>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</si>
  <si>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</si>
  <si>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</si>
  <si>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</si>
  <si>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</si>
  <si>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</si>
  <si>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</si>
  <si>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</si>
  <si>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</si>
  <si>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</si>
  <si>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</si>
  <si>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</si>
  <si>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</si>
  <si>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</si>
  <si>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</si>
  <si>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</si>
  <si>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</si>
  <si>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</si>
  <si>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</si>
  <si>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</si>
  <si>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</si>
  <si>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</si>
  <si>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</si>
  <si>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</si>
  <si>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</si>
  <si>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</si>
  <si>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</si>
  <si>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</si>
  <si>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</si>
  <si>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</si>
  <si>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</si>
  <si>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</si>
  <si>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</si>
  <si>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</si>
  <si>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</si>
  <si>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</si>
  <si>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</si>
  <si>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</si>
  <si>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</si>
  <si>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</si>
  <si>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</si>
  <si>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</si>
  <si>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</si>
  <si>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</si>
  <si>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</si>
  <si>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</si>
  <si>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</si>
  <si>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</si>
  <si>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</si>
  <si>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</si>
  <si>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</si>
  <si>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</si>
  <si>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</si>
  <si>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</si>
  <si>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</si>
  <si>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</si>
  <si>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</si>
  <si>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</si>
  <si>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</si>
  <si>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</si>
  <si>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</si>
  <si>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</si>
  <si>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</si>
  <si>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</si>
  <si>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</si>
  <si>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</si>
  <si>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</si>
  <si>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</si>
  <si>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Decentralized Electricity form Solar, Wind and Bio</t>
  </si>
  <si>
    <t>MANELC_TECH</t>
  </si>
  <si>
    <t>MANELC</t>
  </si>
  <si>
    <t>DECPOWER</t>
  </si>
  <si>
    <t>RNWHEAT</t>
  </si>
  <si>
    <t>RNWTHT</t>
  </si>
  <si>
    <t>Grid electricity-based heat</t>
  </si>
  <si>
    <t>GEHEAT</t>
  </si>
  <si>
    <t>DECEHEAT</t>
  </si>
  <si>
    <t>Decentralized Electricity fbased heat</t>
  </si>
  <si>
    <t>Process heat from  renewables-CSP and BIO</t>
  </si>
  <si>
    <t>ELCHEAT</t>
  </si>
  <si>
    <t>Electricity-based process heat</t>
  </si>
  <si>
    <t>ETHT</t>
  </si>
  <si>
    <t>Electricity-based process heat-aggrigator</t>
  </si>
  <si>
    <t>ELC to MANELC transformation</t>
  </si>
  <si>
    <t>DECRHEAT</t>
  </si>
  <si>
    <t>Renewable Heat Aggrigator from all renewables including elc</t>
  </si>
  <si>
    <t>HEAt</t>
  </si>
  <si>
    <t>PTHT</t>
  </si>
  <si>
    <t>Manufacturing process 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</si>
</sst>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2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8" borderId="0" xfId="4" applyNumberFormat="1" applyFont="1" applyFill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30" fillId="12" borderId="0" xfId="4" applyNumberFormat="1" applyFont="1" applyFill="1"/>
    <xf numFmtId="2" fontId="30" fillId="12" borderId="0" xfId="4" applyNumberFormat="1" applyFont="1" applyFill="1"/>
    <xf numFmtId="0" fontId="30" fillId="12" borderId="0" xfId="4" applyFont="1" applyFill="1"/>
    <xf numFmtId="9" fontId="30" fillId="12" borderId="0" xfId="21" applyFont="1" applyFill="1"/>
    <xf numFmtId="9" fontId="28" fillId="12" borderId="0" xfId="21" applyFont="1" applyFill="1"/>
    <xf numFmtId="9" fontId="21" fillId="12" borderId="0" xfId="21" applyFont="1" applyFill="1"/>
    <xf numFmtId="9" fontId="21" fillId="12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abSelected="1" topLeftCell="C1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8"/>
  <sheetViews>
    <sheetView topLeftCell="U4" zoomScale="118" zoomScaleNormal="118" workbookViewId="0">
      <selection activeCell="E46" sqref="E46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3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3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3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3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131</v>
      </c>
      <c r="Y5" s="72" t="s">
        <v>132</v>
      </c>
      <c r="Z5" s="72" t="s">
        <v>58</v>
      </c>
      <c r="AB5" s="72" t="s">
        <v>88</v>
      </c>
    </row>
    <row r="6" spans="2:3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133</v>
      </c>
      <c r="Z6" s="72" t="s">
        <v>58</v>
      </c>
      <c r="AB6" s="72" t="s">
        <v>88</v>
      </c>
    </row>
    <row r="7" spans="2:3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2" t="s">
        <v>58</v>
      </c>
      <c r="AB7" s="72" t="s">
        <v>88</v>
      </c>
    </row>
    <row r="8" spans="2:31" x14ac:dyDescent="0.25">
      <c r="V8" s="50" t="s">
        <v>139</v>
      </c>
      <c r="W8" s="50"/>
      <c r="X8" s="50" t="s">
        <v>167</v>
      </c>
      <c r="Y8" s="50" t="s">
        <v>161</v>
      </c>
      <c r="Z8" s="72" t="s">
        <v>58</v>
      </c>
      <c r="AB8" s="72" t="s">
        <v>88</v>
      </c>
      <c r="AE8" s="46"/>
    </row>
    <row r="9" spans="2:31" x14ac:dyDescent="0.25">
      <c r="V9" s="50" t="s">
        <v>69</v>
      </c>
      <c r="W9" s="50"/>
      <c r="X9" s="50" t="s">
        <v>129</v>
      </c>
      <c r="Y9" s="50" t="s">
        <v>151</v>
      </c>
      <c r="Z9" s="72" t="s">
        <v>58</v>
      </c>
      <c r="AA9" s="50"/>
      <c r="AB9" s="72" t="s">
        <v>88</v>
      </c>
      <c r="AC9" s="50"/>
      <c r="AD9" s="50"/>
    </row>
    <row r="10" spans="2:31" x14ac:dyDescent="0.25">
      <c r="V10" s="45" t="s">
        <v>139</v>
      </c>
      <c r="X10" s="45" t="s">
        <v>155</v>
      </c>
      <c r="Y10" s="45" t="s">
        <v>168</v>
      </c>
      <c r="Z10" s="72" t="s">
        <v>58</v>
      </c>
      <c r="AA10" s="50"/>
      <c r="AB10" s="72" t="s">
        <v>88</v>
      </c>
      <c r="AC10" s="50"/>
      <c r="AD10" s="50"/>
    </row>
    <row r="11" spans="2:31" x14ac:dyDescent="0.25">
      <c r="V11" s="45" t="s">
        <v>139</v>
      </c>
      <c r="X11" s="45" t="s">
        <v>158</v>
      </c>
      <c r="Y11" s="45" t="s">
        <v>157</v>
      </c>
      <c r="Z11" s="72" t="s">
        <v>58</v>
      </c>
      <c r="AB11" s="72" t="s">
        <v>88</v>
      </c>
    </row>
    <row r="12" spans="2:31" x14ac:dyDescent="0.25">
      <c r="V12" s="45" t="s">
        <v>139</v>
      </c>
      <c r="X12" s="45" t="s">
        <v>159</v>
      </c>
      <c r="Y12" s="45" t="s">
        <v>160</v>
      </c>
      <c r="Z12" s="72" t="s">
        <v>58</v>
      </c>
      <c r="AB12" s="72" t="s">
        <v>88</v>
      </c>
    </row>
    <row r="13" spans="2:31" x14ac:dyDescent="0.25">
      <c r="V13" s="45" t="s">
        <v>139</v>
      </c>
      <c r="X13" s="45" t="s">
        <v>162</v>
      </c>
      <c r="Y13" s="45" t="s">
        <v>163</v>
      </c>
      <c r="Z13" s="72" t="s">
        <v>58</v>
      </c>
      <c r="AB13" s="72" t="s">
        <v>88</v>
      </c>
    </row>
    <row r="14" spans="2:31" x14ac:dyDescent="0.25">
      <c r="Z14" s="72"/>
      <c r="AB14" s="72"/>
    </row>
    <row r="15" spans="2:31" x14ac:dyDescent="0.25">
      <c r="Z15" s="72"/>
      <c r="AB15" s="72"/>
    </row>
    <row r="16" spans="2:31" x14ac:dyDescent="0.25">
      <c r="AB16" s="72"/>
    </row>
    <row r="17" spans="2:51" x14ac:dyDescent="0.25">
      <c r="D17" s="55" t="s">
        <v>0</v>
      </c>
      <c r="E17" s="55"/>
      <c r="F17" s="55"/>
      <c r="H17" s="55"/>
      <c r="V17" s="49" t="s">
        <v>17</v>
      </c>
      <c r="W17" s="49"/>
      <c r="X17" s="50"/>
      <c r="Y17" s="50"/>
      <c r="Z17" s="50"/>
      <c r="AI17"/>
      <c r="AJ17" s="39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</row>
    <row r="18" spans="2:51" ht="24" customHeight="1" x14ac:dyDescent="0.25">
      <c r="B18" s="56" t="s">
        <v>1</v>
      </c>
      <c r="C18" s="56" t="s">
        <v>3</v>
      </c>
      <c r="D18" s="56" t="s">
        <v>4</v>
      </c>
      <c r="E18" s="57" t="s">
        <v>113</v>
      </c>
      <c r="F18" s="57" t="s">
        <v>16</v>
      </c>
      <c r="G18" s="57" t="s">
        <v>34</v>
      </c>
      <c r="H18" s="57" t="s">
        <v>47</v>
      </c>
      <c r="I18" s="57" t="s">
        <v>36</v>
      </c>
      <c r="J18" s="59" t="s">
        <v>5</v>
      </c>
      <c r="K18" s="59" t="s">
        <v>98</v>
      </c>
      <c r="L18" s="57" t="s">
        <v>56</v>
      </c>
      <c r="M18" s="59" t="s">
        <v>103</v>
      </c>
      <c r="N18" s="58" t="s">
        <v>112</v>
      </c>
      <c r="O18" s="59" t="s">
        <v>115</v>
      </c>
      <c r="P18" s="59" t="s">
        <v>116</v>
      </c>
      <c r="Q18" s="59" t="s">
        <v>117</v>
      </c>
      <c r="R18" s="59" t="s">
        <v>118</v>
      </c>
      <c r="S18" s="59" t="s">
        <v>126</v>
      </c>
      <c r="V18" s="51" t="s">
        <v>15</v>
      </c>
      <c r="W18" s="52" t="s">
        <v>42</v>
      </c>
      <c r="X18" s="51" t="s">
        <v>1</v>
      </c>
      <c r="Y18" s="51" t="s">
        <v>2</v>
      </c>
      <c r="Z18" s="51" t="s">
        <v>18</v>
      </c>
      <c r="AA18" s="50"/>
      <c r="AB18" s="50"/>
      <c r="AC18" s="50"/>
      <c r="AD18" s="50"/>
      <c r="AI18"/>
      <c r="AJ18" s="39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Y18" s="46"/>
    </row>
    <row r="19" spans="2:51" ht="31.8" thickBot="1" x14ac:dyDescent="0.3">
      <c r="B19" s="32" t="s">
        <v>48</v>
      </c>
      <c r="C19" s="32" t="s">
        <v>32</v>
      </c>
      <c r="D19" s="32" t="s">
        <v>33</v>
      </c>
      <c r="E19" s="32" t="s">
        <v>54</v>
      </c>
      <c r="F19" s="32" t="s">
        <v>35</v>
      </c>
      <c r="G19" s="33" t="s">
        <v>49</v>
      </c>
      <c r="H19" s="32" t="s">
        <v>57</v>
      </c>
      <c r="I19" s="32" t="s">
        <v>86</v>
      </c>
      <c r="J19" s="33" t="s">
        <v>37</v>
      </c>
      <c r="K19" s="33" t="s">
        <v>99</v>
      </c>
      <c r="L19" s="33" t="s">
        <v>80</v>
      </c>
      <c r="M19" s="33" t="s">
        <v>104</v>
      </c>
      <c r="N19" s="32" t="s">
        <v>85</v>
      </c>
      <c r="O19" s="33" t="s">
        <v>114</v>
      </c>
      <c r="P19" s="33" t="s">
        <v>114</v>
      </c>
      <c r="Q19" s="33" t="s">
        <v>114</v>
      </c>
      <c r="R19" s="70" t="s">
        <v>114</v>
      </c>
      <c r="S19" s="70" t="s">
        <v>127</v>
      </c>
      <c r="V19" s="31" t="s">
        <v>50</v>
      </c>
      <c r="W19" s="31" t="s">
        <v>44</v>
      </c>
      <c r="X19" s="31" t="s">
        <v>27</v>
      </c>
      <c r="Y19" s="31" t="s">
        <v>28</v>
      </c>
      <c r="Z19" s="31" t="s">
        <v>29</v>
      </c>
      <c r="AA19" s="51" t="s">
        <v>19</v>
      </c>
      <c r="AB19" s="51" t="s">
        <v>20</v>
      </c>
      <c r="AC19" s="51" t="s">
        <v>21</v>
      </c>
      <c r="AD19" s="51" t="s">
        <v>22</v>
      </c>
      <c r="AI19"/>
      <c r="AJ19" s="39"/>
      <c r="AY19" s="46"/>
    </row>
    <row r="20" spans="2:51" ht="33.75" customHeight="1" thickBot="1" x14ac:dyDescent="0.3">
      <c r="B20" s="34" t="s">
        <v>53</v>
      </c>
      <c r="C20" s="34"/>
      <c r="D20" s="34"/>
      <c r="E20" s="35"/>
      <c r="F20" s="35"/>
      <c r="G20" s="36"/>
      <c r="H20" s="35" t="s">
        <v>54</v>
      </c>
      <c r="I20" s="35" t="s">
        <v>111</v>
      </c>
      <c r="J20" s="35" t="s">
        <v>111</v>
      </c>
      <c r="K20" s="35" t="s">
        <v>134</v>
      </c>
      <c r="L20" s="36"/>
      <c r="M20" s="36" t="s">
        <v>105</v>
      </c>
      <c r="N20" s="35"/>
      <c r="O20" s="36"/>
      <c r="P20" s="36"/>
      <c r="Q20" s="36"/>
      <c r="R20" s="35"/>
      <c r="S20" s="71"/>
      <c r="V20" s="31" t="s">
        <v>81</v>
      </c>
      <c r="W20" s="31"/>
      <c r="X20" s="31"/>
      <c r="Y20" s="31"/>
      <c r="Z20" s="31"/>
      <c r="AA20" s="31" t="s">
        <v>30</v>
      </c>
      <c r="AB20" s="31" t="s">
        <v>51</v>
      </c>
      <c r="AC20" s="31" t="s">
        <v>52</v>
      </c>
      <c r="AD20" s="31" t="s">
        <v>31</v>
      </c>
      <c r="AI20"/>
      <c r="AJ20" s="39"/>
      <c r="AY20" s="46"/>
    </row>
    <row r="21" spans="2:51" s="80" customFormat="1" ht="13.8" thickBot="1" x14ac:dyDescent="0.3">
      <c r="B21" s="80" t="str">
        <f>X21</f>
        <v>Furnace</v>
      </c>
      <c r="C21" s="80" t="s">
        <v>69</v>
      </c>
      <c r="D21" s="81" t="str">
        <f>X11</f>
        <v>GEHEAT</v>
      </c>
      <c r="E21" s="110">
        <v>2030</v>
      </c>
      <c r="F21" s="111">
        <v>1</v>
      </c>
      <c r="G21" s="111">
        <v>1</v>
      </c>
      <c r="H21" s="110">
        <v>25</v>
      </c>
      <c r="I21" s="111">
        <v>81</v>
      </c>
      <c r="J21" s="111">
        <v>0</v>
      </c>
      <c r="K21" s="111">
        <v>0.24</v>
      </c>
      <c r="L21" s="111">
        <v>8.76</v>
      </c>
      <c r="M21" s="110"/>
      <c r="N21" s="111">
        <v>0.1</v>
      </c>
      <c r="O21" s="111">
        <v>0.15</v>
      </c>
      <c r="P21" s="111">
        <v>0.2</v>
      </c>
      <c r="Q21" s="111">
        <v>0.25</v>
      </c>
      <c r="R21" s="111">
        <v>0.35</v>
      </c>
      <c r="S21" s="110"/>
      <c r="T21" s="82"/>
      <c r="U21" s="82"/>
      <c r="V21" s="83" t="s">
        <v>139</v>
      </c>
      <c r="W21" s="83"/>
      <c r="X21" s="84" t="s">
        <v>66</v>
      </c>
      <c r="Y21" s="85" t="s">
        <v>140</v>
      </c>
      <c r="Z21" s="80" t="s">
        <v>58</v>
      </c>
      <c r="AA21" s="31" t="s">
        <v>87</v>
      </c>
      <c r="AB21" s="31" t="s">
        <v>88</v>
      </c>
      <c r="AC21" s="31"/>
      <c r="AD21" s="31"/>
      <c r="AI21" s="87"/>
      <c r="AJ21" s="88"/>
      <c r="AY21" s="82"/>
    </row>
    <row r="22" spans="2:51" s="72" customFormat="1" x14ac:dyDescent="0.25">
      <c r="B22" s="72" t="str">
        <f>X$22</f>
        <v>BIOBoiler</v>
      </c>
      <c r="C22" s="72" t="str">
        <f>PRI_Sector_Fuels!P5</f>
        <v>MANBIOMIN</v>
      </c>
      <c r="D22" s="78" t="str">
        <f>X8</f>
        <v>DECRHEAT</v>
      </c>
      <c r="E22" s="112">
        <v>2030</v>
      </c>
      <c r="F22" s="113">
        <v>0.7</v>
      </c>
      <c r="G22" s="113">
        <v>0.98</v>
      </c>
      <c r="H22" s="112">
        <v>25</v>
      </c>
      <c r="I22" s="113">
        <v>797.9</v>
      </c>
      <c r="J22" s="113">
        <v>48.48</v>
      </c>
      <c r="K22" s="113">
        <v>3.75</v>
      </c>
      <c r="L22" s="113">
        <v>8.76</v>
      </c>
      <c r="M22" s="112"/>
      <c r="N22" s="114"/>
      <c r="O22" s="112"/>
      <c r="P22" s="112"/>
      <c r="Q22" s="112"/>
      <c r="R22" s="112"/>
      <c r="S22" s="112"/>
      <c r="T22" s="89"/>
      <c r="U22" s="89"/>
      <c r="V22" s="79" t="s">
        <v>139</v>
      </c>
      <c r="W22" s="79"/>
      <c r="X22" s="90" t="s">
        <v>94</v>
      </c>
      <c r="Y22" s="91" t="s">
        <v>141</v>
      </c>
      <c r="Z22" s="72" t="s">
        <v>58</v>
      </c>
      <c r="AA22" s="80" t="s">
        <v>87</v>
      </c>
      <c r="AB22" s="86" t="s">
        <v>88</v>
      </c>
      <c r="AC22" s="82"/>
      <c r="AD22" s="82"/>
      <c r="AI22" s="14"/>
      <c r="AJ22" s="12"/>
      <c r="AY22" s="89"/>
    </row>
    <row r="23" spans="2:51" s="80" customFormat="1" x14ac:dyDescent="0.25">
      <c r="B23" s="80" t="str">
        <f>X25</f>
        <v>ELCBoiler</v>
      </c>
      <c r="C23" s="80" t="s">
        <v>69</v>
      </c>
      <c r="D23" s="81" t="str">
        <f>X11</f>
        <v>GEHEAT</v>
      </c>
      <c r="E23" s="110">
        <v>2030</v>
      </c>
      <c r="F23" s="111">
        <v>0.99</v>
      </c>
      <c r="G23" s="111">
        <v>1</v>
      </c>
      <c r="H23" s="110">
        <v>25</v>
      </c>
      <c r="I23" s="111">
        <v>112.9</v>
      </c>
      <c r="J23" s="111">
        <v>14.26</v>
      </c>
      <c r="K23" s="111">
        <v>1.22</v>
      </c>
      <c r="L23" s="111">
        <v>8.76</v>
      </c>
      <c r="M23" s="110"/>
      <c r="N23" s="115"/>
      <c r="O23" s="115"/>
      <c r="P23" s="115"/>
      <c r="Q23" s="115"/>
      <c r="R23" s="115"/>
      <c r="S23" s="110"/>
      <c r="T23" s="82"/>
      <c r="U23" s="82"/>
      <c r="V23" s="83" t="s">
        <v>128</v>
      </c>
      <c r="W23" s="83"/>
      <c r="X23" s="84" t="s">
        <v>95</v>
      </c>
      <c r="Y23" s="85" t="s">
        <v>142</v>
      </c>
      <c r="Z23" s="80" t="s">
        <v>58</v>
      </c>
      <c r="AA23" s="72" t="s">
        <v>87</v>
      </c>
      <c r="AB23" s="92" t="s">
        <v>88</v>
      </c>
      <c r="AC23" s="89"/>
      <c r="AD23" s="89"/>
      <c r="AI23" s="87"/>
      <c r="AJ23" s="88"/>
      <c r="AY23" s="82"/>
    </row>
    <row r="24" spans="2:51" s="46" customFormat="1" x14ac:dyDescent="0.25">
      <c r="B24" s="45" t="str">
        <f>X23</f>
        <v>BIOKiln</v>
      </c>
      <c r="C24" s="45" t="str">
        <f>PRI_Sector_Fuels!P5</f>
        <v>MANBIOMIN</v>
      </c>
      <c r="D24" s="50" t="s">
        <v>108</v>
      </c>
      <c r="E24" s="116">
        <v>2030</v>
      </c>
      <c r="F24" s="117">
        <v>0.55600000000000005</v>
      </c>
      <c r="G24" s="117">
        <v>0.98</v>
      </c>
      <c r="H24" s="116">
        <v>25</v>
      </c>
      <c r="I24" s="117">
        <v>297.10000000000002</v>
      </c>
      <c r="J24" s="117">
        <v>4.46</v>
      </c>
      <c r="K24" s="117">
        <v>0.45</v>
      </c>
      <c r="L24" s="117">
        <v>8.76</v>
      </c>
      <c r="M24" s="116"/>
      <c r="N24" s="117">
        <v>0.1</v>
      </c>
      <c r="O24" s="117">
        <v>0.15</v>
      </c>
      <c r="P24" s="117">
        <v>0.2</v>
      </c>
      <c r="Q24" s="117">
        <v>0.25</v>
      </c>
      <c r="R24" s="117">
        <v>0.35</v>
      </c>
      <c r="S24" s="116"/>
      <c r="V24" s="60" t="s">
        <v>128</v>
      </c>
      <c r="W24" s="60"/>
      <c r="X24" s="61" t="s">
        <v>96</v>
      </c>
      <c r="Y24" s="62" t="s">
        <v>143</v>
      </c>
      <c r="Z24" s="45" t="s">
        <v>58</v>
      </c>
      <c r="AA24" s="80" t="s">
        <v>87</v>
      </c>
      <c r="AB24" s="86" t="s">
        <v>88</v>
      </c>
      <c r="AC24" s="82"/>
      <c r="AD24" s="82"/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X24</f>
        <v>GASBoiler</v>
      </c>
      <c r="C25" s="45" t="str">
        <f>PRI_Sector_Fuels!P6</f>
        <v>MANGASMIN</v>
      </c>
      <c r="D25" s="50" t="s">
        <v>107</v>
      </c>
      <c r="E25" s="116">
        <v>2030</v>
      </c>
      <c r="F25" s="117">
        <v>0.75</v>
      </c>
      <c r="G25" s="117">
        <v>0.99</v>
      </c>
      <c r="H25" s="116">
        <v>25</v>
      </c>
      <c r="I25" s="117">
        <v>61.4</v>
      </c>
      <c r="J25" s="117">
        <v>2.57</v>
      </c>
      <c r="K25" s="117">
        <v>1.35</v>
      </c>
      <c r="L25" s="117">
        <v>8.76</v>
      </c>
      <c r="M25" s="116"/>
      <c r="N25" s="118"/>
      <c r="O25" s="116"/>
      <c r="P25" s="116"/>
      <c r="Q25" s="116"/>
      <c r="R25" s="116"/>
      <c r="S25" s="116"/>
      <c r="V25" s="60" t="s">
        <v>139</v>
      </c>
      <c r="W25" s="60"/>
      <c r="X25" s="61" t="s">
        <v>97</v>
      </c>
      <c r="Y25" s="62" t="s">
        <v>144</v>
      </c>
      <c r="Z25" s="45" t="s">
        <v>58</v>
      </c>
      <c r="AA25" s="45" t="s">
        <v>87</v>
      </c>
      <c r="AB25" s="63" t="s">
        <v>88</v>
      </c>
      <c r="AI25"/>
      <c r="AJ25"/>
      <c r="AK25" s="72"/>
      <c r="AL25" s="72"/>
      <c r="AM25" s="72"/>
      <c r="AN25" s="72"/>
      <c r="AO25" s="72"/>
      <c r="AP25" s="72"/>
      <c r="AQ25" s="72"/>
      <c r="AR25" s="72"/>
      <c r="AS25" s="72"/>
      <c r="AT25" s="72"/>
      <c r="AU25" s="72"/>
      <c r="AV25" s="72"/>
      <c r="AW25" s="72"/>
    </row>
    <row r="26" spans="2:51" s="46" customFormat="1" x14ac:dyDescent="0.25">
      <c r="B26" s="50" t="str">
        <f>X27</f>
        <v>WNDTRBN</v>
      </c>
      <c r="C26" s="45" t="str">
        <f>PRI_Sector_Fuels!D19</f>
        <v>WIND</v>
      </c>
      <c r="D26" s="50" t="s">
        <v>130</v>
      </c>
      <c r="E26" s="116">
        <v>2030</v>
      </c>
      <c r="F26" s="113">
        <v>1</v>
      </c>
      <c r="G26" s="117">
        <v>0.97</v>
      </c>
      <c r="H26" s="116">
        <v>25</v>
      </c>
      <c r="I26" s="117">
        <v>1041</v>
      </c>
      <c r="J26" s="117">
        <v>38</v>
      </c>
      <c r="K26" s="117">
        <v>0</v>
      </c>
      <c r="L26" s="117">
        <v>8.76</v>
      </c>
      <c r="M26" s="118"/>
      <c r="N26" s="118"/>
      <c r="O26" s="117"/>
      <c r="P26" s="117"/>
      <c r="Q26" s="117"/>
      <c r="R26" s="118"/>
      <c r="S26" s="116">
        <v>0.2</v>
      </c>
      <c r="V26" s="60" t="s">
        <v>139</v>
      </c>
      <c r="W26" s="60"/>
      <c r="X26" s="61" t="s">
        <v>65</v>
      </c>
      <c r="Y26" s="62" t="s">
        <v>145</v>
      </c>
      <c r="Z26" s="45" t="s">
        <v>58</v>
      </c>
      <c r="AA26" s="45" t="s">
        <v>87</v>
      </c>
      <c r="AB26" s="63" t="s">
        <v>88</v>
      </c>
      <c r="AI26"/>
      <c r="AJ26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X28</f>
        <v>SOLPV</v>
      </c>
      <c r="C27" s="45" t="str">
        <f>PRI_Sector_Fuels!D20</f>
        <v>SOLAR</v>
      </c>
      <c r="D27" s="50" t="s">
        <v>131</v>
      </c>
      <c r="E27" s="116">
        <v>2030</v>
      </c>
      <c r="F27" s="113">
        <v>0.20499999999999999</v>
      </c>
      <c r="G27" s="117">
        <v>0.99</v>
      </c>
      <c r="H27" s="116">
        <v>25</v>
      </c>
      <c r="I27" s="117">
        <v>691</v>
      </c>
      <c r="J27" s="117">
        <v>6.99</v>
      </c>
      <c r="K27" s="117">
        <v>0</v>
      </c>
      <c r="L27" s="117">
        <v>8.76</v>
      </c>
      <c r="M27" s="118"/>
      <c r="N27" s="118"/>
      <c r="O27" s="117"/>
      <c r="P27" s="117"/>
      <c r="Q27" s="117"/>
      <c r="R27" s="118"/>
      <c r="S27" s="116">
        <v>0.3</v>
      </c>
      <c r="V27" s="60" t="s">
        <v>69</v>
      </c>
      <c r="W27" s="60"/>
      <c r="X27" s="61" t="s">
        <v>89</v>
      </c>
      <c r="Y27" s="62" t="s">
        <v>146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89" customFormat="1" x14ac:dyDescent="0.25">
      <c r="B28" s="78" t="str">
        <f>X26</f>
        <v>CSP</v>
      </c>
      <c r="C28" s="72" t="str">
        <f>PRI_Sector_Fuels!D20</f>
        <v>SOLAR</v>
      </c>
      <c r="D28" s="78" t="str">
        <f>X8</f>
        <v>DECRHEAT</v>
      </c>
      <c r="E28" s="112">
        <v>2030</v>
      </c>
      <c r="F28" s="113">
        <v>0.4</v>
      </c>
      <c r="G28" s="113">
        <v>1</v>
      </c>
      <c r="H28" s="112">
        <v>25</v>
      </c>
      <c r="I28" s="113">
        <v>3677</v>
      </c>
      <c r="J28" s="113">
        <v>0</v>
      </c>
      <c r="K28" s="113">
        <v>14</v>
      </c>
      <c r="L28" s="113">
        <v>8.76</v>
      </c>
      <c r="M28" s="114"/>
      <c r="N28" s="114"/>
      <c r="O28" s="113"/>
      <c r="P28" s="113"/>
      <c r="Q28" s="113"/>
      <c r="R28" s="114"/>
      <c r="S28" s="112"/>
      <c r="V28" s="79" t="s">
        <v>69</v>
      </c>
      <c r="W28" s="79"/>
      <c r="X28" s="90" t="s">
        <v>90</v>
      </c>
      <c r="Y28" s="91" t="s">
        <v>147</v>
      </c>
      <c r="Z28" s="72" t="s">
        <v>58</v>
      </c>
      <c r="AA28" s="45" t="s">
        <v>87</v>
      </c>
      <c r="AB28" s="46" t="s">
        <v>88</v>
      </c>
      <c r="AC28" s="46"/>
      <c r="AD28" s="46"/>
      <c r="AI28" s="14"/>
      <c r="AJ28" s="14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</row>
    <row r="29" spans="2:51" s="46" customFormat="1" x14ac:dyDescent="0.25">
      <c r="B29" s="50" t="str">
        <f>X24</f>
        <v>GASBoiler</v>
      </c>
      <c r="C29" s="45"/>
      <c r="D29" s="50" t="s">
        <v>106</v>
      </c>
      <c r="E29" s="116">
        <v>2030</v>
      </c>
      <c r="F29" s="113">
        <v>0.3</v>
      </c>
      <c r="G29" s="117">
        <v>1</v>
      </c>
      <c r="H29" s="116">
        <v>25</v>
      </c>
      <c r="I29" s="117">
        <v>0</v>
      </c>
      <c r="J29" s="117">
        <v>0</v>
      </c>
      <c r="K29" s="117">
        <v>0</v>
      </c>
      <c r="L29" s="117">
        <v>8.76</v>
      </c>
      <c r="M29" s="118"/>
      <c r="N29" s="118"/>
      <c r="O29" s="117"/>
      <c r="P29" s="117"/>
      <c r="Q29" s="117"/>
      <c r="R29" s="118"/>
      <c r="S29" s="116"/>
      <c r="V29" s="60" t="s">
        <v>69</v>
      </c>
      <c r="W29" s="60"/>
      <c r="X29" s="61" t="s">
        <v>154</v>
      </c>
      <c r="Y29" s="62" t="s">
        <v>148</v>
      </c>
      <c r="Z29" s="45" t="s">
        <v>58</v>
      </c>
      <c r="AA29" s="72" t="s">
        <v>87</v>
      </c>
      <c r="AB29" s="89" t="s">
        <v>88</v>
      </c>
      <c r="AC29" s="89"/>
      <c r="AD29" s="89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94" customFormat="1" x14ac:dyDescent="0.25">
      <c r="B30" s="93" t="str">
        <f>X29</f>
        <v>DECPOWER</v>
      </c>
      <c r="C30" s="93" t="s">
        <v>130</v>
      </c>
      <c r="D30" s="93" t="str">
        <f>X9</f>
        <v>DECELC</v>
      </c>
      <c r="E30" s="119">
        <v>2030</v>
      </c>
      <c r="F30" s="120">
        <v>1</v>
      </c>
      <c r="G30" s="120">
        <v>1</v>
      </c>
      <c r="H30" s="119">
        <v>100</v>
      </c>
      <c r="I30" s="121">
        <v>0</v>
      </c>
      <c r="J30" s="120">
        <v>0</v>
      </c>
      <c r="K30" s="120">
        <v>0</v>
      </c>
      <c r="L30" s="121">
        <v>8.76</v>
      </c>
      <c r="M30" s="122"/>
      <c r="N30" s="122"/>
      <c r="O30" s="121"/>
      <c r="P30" s="121"/>
      <c r="Q30" s="121"/>
      <c r="R30" s="122"/>
      <c r="S30" s="119"/>
      <c r="V30" s="96" t="s">
        <v>69</v>
      </c>
      <c r="W30" s="96"/>
      <c r="X30" s="97" t="s">
        <v>137</v>
      </c>
      <c r="Y30" s="98" t="s">
        <v>149</v>
      </c>
      <c r="Z30" s="95" t="s">
        <v>58</v>
      </c>
      <c r="AA30" s="45" t="s">
        <v>87</v>
      </c>
      <c r="AB30" s="46" t="s">
        <v>88</v>
      </c>
      <c r="AC30" s="46"/>
      <c r="AD30" s="46"/>
      <c r="AI30" s="99"/>
      <c r="AJ30" s="99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</row>
    <row r="31" spans="2:51" s="94" customFormat="1" x14ac:dyDescent="0.25">
      <c r="B31" s="93" t="str">
        <f>X29</f>
        <v>DECPOWER</v>
      </c>
      <c r="C31" s="93" t="s">
        <v>131</v>
      </c>
      <c r="D31" s="93" t="str">
        <f>X9</f>
        <v>DECELC</v>
      </c>
      <c r="E31" s="119">
        <v>2030</v>
      </c>
      <c r="F31" s="120">
        <v>1</v>
      </c>
      <c r="G31" s="120">
        <v>1</v>
      </c>
      <c r="H31" s="119">
        <v>100</v>
      </c>
      <c r="I31" s="121">
        <v>0</v>
      </c>
      <c r="J31" s="120">
        <v>0</v>
      </c>
      <c r="K31" s="120">
        <v>0</v>
      </c>
      <c r="L31" s="121">
        <v>8.76</v>
      </c>
      <c r="M31" s="122"/>
      <c r="N31" s="122"/>
      <c r="O31" s="121"/>
      <c r="P31" s="121"/>
      <c r="Q31" s="121"/>
      <c r="R31" s="122"/>
      <c r="S31" s="119"/>
      <c r="V31" s="46" t="s">
        <v>169</v>
      </c>
      <c r="W31" s="46"/>
      <c r="X31" s="46" t="s">
        <v>156</v>
      </c>
      <c r="Y31" s="46" t="s">
        <v>150</v>
      </c>
      <c r="Z31" s="95" t="s">
        <v>58</v>
      </c>
      <c r="AA31" s="95" t="s">
        <v>87</v>
      </c>
      <c r="AB31" s="94" t="s">
        <v>88</v>
      </c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46" customFormat="1" x14ac:dyDescent="0.25">
      <c r="B32" s="50" t="str">
        <f>X30</f>
        <v>BIOPOWER</v>
      </c>
      <c r="C32" s="50" t="s">
        <v>68</v>
      </c>
      <c r="D32" s="50" t="s">
        <v>135</v>
      </c>
      <c r="E32" s="116">
        <v>2030</v>
      </c>
      <c r="F32" s="123">
        <v>0.35</v>
      </c>
      <c r="G32" s="123">
        <v>0.98</v>
      </c>
      <c r="H32" s="116">
        <v>20</v>
      </c>
      <c r="I32" s="124">
        <v>3242</v>
      </c>
      <c r="J32" s="117">
        <v>129.68</v>
      </c>
      <c r="K32" s="117">
        <v>0</v>
      </c>
      <c r="L32" s="117">
        <v>8.76</v>
      </c>
      <c r="M32" s="118"/>
      <c r="N32" s="118"/>
      <c r="O32" s="117"/>
      <c r="P32" s="117"/>
      <c r="Q32" s="117"/>
      <c r="R32" s="118"/>
      <c r="S32" s="116"/>
      <c r="V32" s="45" t="s">
        <v>139</v>
      </c>
      <c r="W32" s="45"/>
      <c r="X32" s="45" t="s">
        <v>164</v>
      </c>
      <c r="Y32" s="45" t="s">
        <v>165</v>
      </c>
      <c r="Z32" s="95" t="s">
        <v>58</v>
      </c>
      <c r="AA32" s="95" t="s">
        <v>87</v>
      </c>
      <c r="AB32" s="94" t="s">
        <v>88</v>
      </c>
      <c r="AD32" s="94"/>
      <c r="AI32" s="38"/>
      <c r="AJ32" s="38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9" s="94" customFormat="1" x14ac:dyDescent="0.25">
      <c r="B33" s="93" t="str">
        <f>X29</f>
        <v>DECPOWER</v>
      </c>
      <c r="C33" s="95" t="s">
        <v>135</v>
      </c>
      <c r="D33" s="93" t="str">
        <f>X9</f>
        <v>DECELC</v>
      </c>
      <c r="E33" s="119">
        <v>2030</v>
      </c>
      <c r="F33" s="121">
        <v>1</v>
      </c>
      <c r="G33" s="121">
        <v>1</v>
      </c>
      <c r="H33" s="120">
        <v>100</v>
      </c>
      <c r="I33" s="120">
        <v>0</v>
      </c>
      <c r="J33" s="120">
        <v>0</v>
      </c>
      <c r="K33" s="120">
        <v>0</v>
      </c>
      <c r="L33" s="120">
        <v>0</v>
      </c>
      <c r="M33" s="122"/>
      <c r="N33" s="122"/>
      <c r="O33" s="121"/>
      <c r="P33" s="121"/>
      <c r="Q33" s="121"/>
      <c r="R33" s="122"/>
      <c r="S33" s="119"/>
      <c r="V33" s="99" t="s">
        <v>128</v>
      </c>
      <c r="W33" s="99"/>
      <c r="X33" s="95" t="s">
        <v>152</v>
      </c>
      <c r="Y33" s="109" t="s">
        <v>166</v>
      </c>
      <c r="Z33" s="95" t="s">
        <v>58</v>
      </c>
      <c r="AA33" s="95" t="s">
        <v>87</v>
      </c>
      <c r="AB33" s="94" t="s">
        <v>88</v>
      </c>
      <c r="AC33" s="95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 t="str">
        <f>X21</f>
        <v>Furnace</v>
      </c>
      <c r="C34" s="93" t="str">
        <f>X9</f>
        <v>DECELC</v>
      </c>
      <c r="D34" s="93" t="str">
        <f>X12</f>
        <v>DECEHEAT</v>
      </c>
      <c r="E34" s="119">
        <v>2030</v>
      </c>
      <c r="F34" s="121">
        <v>1</v>
      </c>
      <c r="G34" s="121">
        <v>1</v>
      </c>
      <c r="H34" s="120">
        <v>100</v>
      </c>
      <c r="I34" s="120">
        <v>0</v>
      </c>
      <c r="J34" s="120">
        <v>0</v>
      </c>
      <c r="K34" s="120">
        <v>0</v>
      </c>
      <c r="L34" s="120">
        <v>0</v>
      </c>
      <c r="M34" s="122"/>
      <c r="N34" s="122"/>
      <c r="O34" s="121"/>
      <c r="P34" s="121"/>
      <c r="Q34" s="121"/>
      <c r="R34" s="122"/>
      <c r="S34" s="119"/>
      <c r="V34" s="99" t="s">
        <v>128</v>
      </c>
      <c r="W34" s="99"/>
      <c r="X34" s="108" t="s">
        <v>170</v>
      </c>
      <c r="Y34" s="109" t="s">
        <v>171</v>
      </c>
      <c r="Z34" s="95" t="s">
        <v>58</v>
      </c>
      <c r="AA34" s="95" t="s">
        <v>87</v>
      </c>
      <c r="AB34" s="94" t="s">
        <v>88</v>
      </c>
      <c r="AC34" s="95"/>
      <c r="AD34" s="95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 t="str">
        <f>X25</f>
        <v>ELCBoiler</v>
      </c>
      <c r="C35" s="93" t="str">
        <f>X9</f>
        <v>DECELC</v>
      </c>
      <c r="D35" s="93" t="str">
        <f>X12</f>
        <v>DECEHEAT</v>
      </c>
      <c r="E35" s="119">
        <v>2030</v>
      </c>
      <c r="F35" s="121">
        <v>1</v>
      </c>
      <c r="G35" s="121">
        <v>1</v>
      </c>
      <c r="H35" s="119">
        <v>100</v>
      </c>
      <c r="I35" s="121">
        <v>0</v>
      </c>
      <c r="J35" s="121">
        <v>0</v>
      </c>
      <c r="K35" s="121">
        <v>0</v>
      </c>
      <c r="L35" s="121">
        <v>0</v>
      </c>
      <c r="M35" s="122"/>
      <c r="N35" s="122"/>
      <c r="O35" s="121"/>
      <c r="P35" s="121"/>
      <c r="Q35" s="121"/>
      <c r="R35" s="122"/>
      <c r="S35" s="119"/>
      <c r="V35" s="45"/>
      <c r="W35" s="45"/>
      <c r="X35" s="45"/>
      <c r="Y35" s="45"/>
      <c r="Z35" s="50"/>
      <c r="AA35" s="38"/>
      <c r="AB35" s="38"/>
      <c r="AC35" s="95"/>
      <c r="AD35" s="95"/>
      <c r="AI35" s="99"/>
      <c r="AJ35" s="99"/>
      <c r="AK35" s="108"/>
      <c r="AL35" s="108"/>
      <c r="AM35" s="95"/>
      <c r="AN35" s="95"/>
      <c r="AO35" s="95"/>
      <c r="AQ35" s="99"/>
      <c r="AR35" s="99"/>
      <c r="AS35" s="108"/>
      <c r="AT35" s="108"/>
      <c r="AU35" s="95"/>
      <c r="AV35" s="95"/>
    </row>
    <row r="36" spans="1:49" s="46" customFormat="1" x14ac:dyDescent="0.25">
      <c r="B36" s="5" t="str">
        <f>X33</f>
        <v>MANELC_TECH</v>
      </c>
      <c r="C36" s="50" t="str">
        <f>X9</f>
        <v>DECELC</v>
      </c>
      <c r="D36" s="50" t="s">
        <v>153</v>
      </c>
      <c r="E36" s="116">
        <v>2030</v>
      </c>
      <c r="F36" s="113">
        <v>1</v>
      </c>
      <c r="G36" s="117">
        <v>1</v>
      </c>
      <c r="H36" s="123">
        <v>100</v>
      </c>
      <c r="I36" s="123">
        <v>0</v>
      </c>
      <c r="J36" s="123">
        <v>0</v>
      </c>
      <c r="K36" s="123">
        <v>0</v>
      </c>
      <c r="L36" s="123">
        <v>0</v>
      </c>
      <c r="M36" s="116"/>
      <c r="N36" s="118"/>
      <c r="O36" s="116"/>
      <c r="P36" s="116"/>
      <c r="Q36" s="116"/>
      <c r="R36" s="116"/>
      <c r="S36" s="116"/>
      <c r="V36" s="101"/>
      <c r="W36" s="100"/>
      <c r="X36" s="101"/>
      <c r="Y36" s="100"/>
      <c r="Z36" s="103"/>
      <c r="AA36" s="102"/>
      <c r="AB36" s="104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9" s="100" customFormat="1" x14ac:dyDescent="0.25">
      <c r="B37" s="101" t="str">
        <f>X32</f>
        <v>ETHT</v>
      </c>
      <c r="C37" s="102" t="str">
        <f>X11</f>
        <v>GEHEAT</v>
      </c>
      <c r="D37" s="102" t="str">
        <f>X13</f>
        <v>ELCHEAT</v>
      </c>
      <c r="E37" s="125">
        <v>2030</v>
      </c>
      <c r="F37" s="126">
        <v>1</v>
      </c>
      <c r="G37" s="126">
        <v>1</v>
      </c>
      <c r="H37" s="125">
        <v>100</v>
      </c>
      <c r="I37" s="126">
        <v>0</v>
      </c>
      <c r="J37" s="126">
        <v>0</v>
      </c>
      <c r="K37" s="126">
        <v>0</v>
      </c>
      <c r="L37" s="126">
        <v>0</v>
      </c>
      <c r="M37" s="127"/>
      <c r="N37" s="128"/>
      <c r="O37" s="127"/>
      <c r="P37" s="127"/>
      <c r="Q37" s="127"/>
      <c r="R37" s="127"/>
      <c r="S37" s="127"/>
      <c r="V37" s="95"/>
      <c r="W37" s="95"/>
      <c r="X37" s="95"/>
      <c r="Y37" s="95"/>
      <c r="Z37" s="95"/>
      <c r="AA37" s="107"/>
      <c r="AB37" s="95"/>
      <c r="AC37" s="101"/>
      <c r="AD37" s="101"/>
      <c r="AI37" s="105"/>
      <c r="AJ37" s="105"/>
      <c r="AK37" s="106"/>
      <c r="AL37" s="106"/>
      <c r="AM37" s="101"/>
      <c r="AN37" s="101"/>
      <c r="AO37" s="101"/>
      <c r="AQ37" s="105"/>
      <c r="AR37" s="105"/>
      <c r="AS37" s="106"/>
      <c r="AT37" s="106"/>
      <c r="AU37" s="101"/>
      <c r="AV37" s="101"/>
    </row>
    <row r="38" spans="1:49" s="94" customFormat="1" x14ac:dyDescent="0.25">
      <c r="B38" s="95" t="str">
        <f>X32</f>
        <v>ETHT</v>
      </c>
      <c r="C38" s="93" t="str">
        <f>X12</f>
        <v>DECEHEAT</v>
      </c>
      <c r="D38" s="93" t="str">
        <f>X13</f>
        <v>ELCHEAT</v>
      </c>
      <c r="E38" s="119">
        <v>2030</v>
      </c>
      <c r="F38" s="121">
        <v>1</v>
      </c>
      <c r="G38" s="121">
        <v>1</v>
      </c>
      <c r="H38" s="119">
        <v>100</v>
      </c>
      <c r="I38" s="121">
        <v>0</v>
      </c>
      <c r="J38" s="121">
        <v>0</v>
      </c>
      <c r="K38" s="121">
        <v>0</v>
      </c>
      <c r="L38" s="121">
        <v>0</v>
      </c>
      <c r="M38" s="120"/>
      <c r="N38" s="129"/>
      <c r="O38" s="120"/>
      <c r="P38" s="120"/>
      <c r="Q38" s="120"/>
      <c r="R38" s="120"/>
      <c r="S38" s="120"/>
      <c r="V38" s="45"/>
      <c r="W38" s="45"/>
      <c r="X38" s="45"/>
      <c r="Y38" s="45"/>
      <c r="Z38" s="45"/>
      <c r="AA38" s="54"/>
      <c r="AB38" s="45"/>
      <c r="AC38" s="95"/>
      <c r="AD38" s="95"/>
      <c r="AI38" s="99"/>
      <c r="AJ38" s="99"/>
      <c r="AK38" s="108"/>
      <c r="AL38" s="108"/>
      <c r="AM38" s="95"/>
      <c r="AN38" s="95"/>
      <c r="AO38" s="95"/>
      <c r="AQ38" s="99"/>
      <c r="AR38" s="99"/>
      <c r="AS38" s="108"/>
      <c r="AT38" s="108"/>
      <c r="AU38" s="95"/>
      <c r="AV38" s="95"/>
    </row>
    <row r="39" spans="1:49" s="46" customFormat="1" x14ac:dyDescent="0.25">
      <c r="B39" s="45" t="str">
        <f>X31</f>
        <v>RNWTHT</v>
      </c>
      <c r="C39" s="50" t="str">
        <f>X13</f>
        <v>ELCHEAT</v>
      </c>
      <c r="D39" s="50" t="str">
        <f>X10</f>
        <v>RNWHEAT</v>
      </c>
      <c r="E39" s="116">
        <v>2030</v>
      </c>
      <c r="F39" s="113">
        <v>1</v>
      </c>
      <c r="G39" s="117">
        <v>1</v>
      </c>
      <c r="H39" s="123">
        <v>100</v>
      </c>
      <c r="I39" s="123">
        <v>0</v>
      </c>
      <c r="J39" s="123">
        <v>0</v>
      </c>
      <c r="K39" s="123">
        <v>0</v>
      </c>
      <c r="L39" s="123">
        <v>0</v>
      </c>
      <c r="M39" s="123"/>
      <c r="N39" s="130"/>
      <c r="O39" s="123"/>
      <c r="P39" s="123"/>
      <c r="Q39" s="123"/>
      <c r="R39" s="123"/>
      <c r="S39" s="123"/>
      <c r="V39" s="45"/>
      <c r="W39" s="45"/>
      <c r="X39" s="45"/>
      <c r="Y39" s="45"/>
      <c r="Z39" s="45"/>
      <c r="AA39" s="45"/>
      <c r="AB39" s="45"/>
      <c r="AC39" s="45"/>
      <c r="AD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9" s="46" customFormat="1" x14ac:dyDescent="0.25">
      <c r="B40" s="50" t="str">
        <f>X31</f>
        <v>RNWTHT</v>
      </c>
      <c r="C40" s="50" t="str">
        <f>X8</f>
        <v>DECRHEAT</v>
      </c>
      <c r="D40" s="50" t="str">
        <f>X10</f>
        <v>RNWHEAT</v>
      </c>
      <c r="E40" s="116">
        <v>2030</v>
      </c>
      <c r="F40" s="113">
        <v>1</v>
      </c>
      <c r="G40" s="117">
        <v>1</v>
      </c>
      <c r="H40" s="123">
        <v>100</v>
      </c>
      <c r="I40" s="123">
        <v>0</v>
      </c>
      <c r="J40" s="123">
        <v>0</v>
      </c>
      <c r="K40" s="123">
        <v>0</v>
      </c>
      <c r="L40" s="123">
        <v>0</v>
      </c>
      <c r="M40" s="123"/>
      <c r="N40" s="123"/>
      <c r="O40" s="123"/>
      <c r="P40" s="123"/>
      <c r="Q40" s="123"/>
      <c r="R40" s="123"/>
      <c r="S40" s="123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s="46" customFormat="1" x14ac:dyDescent="0.25">
      <c r="B41" s="50" t="str">
        <f>X34</f>
        <v>PTHT</v>
      </c>
      <c r="C41" s="50" t="str">
        <f>X10</f>
        <v>RNWHEAT</v>
      </c>
      <c r="D41" s="50" t="s">
        <v>107</v>
      </c>
      <c r="E41" s="116">
        <v>2030</v>
      </c>
      <c r="F41" s="113">
        <v>1</v>
      </c>
      <c r="G41" s="117">
        <v>1</v>
      </c>
      <c r="H41" s="123">
        <v>100</v>
      </c>
      <c r="I41" s="123">
        <v>0</v>
      </c>
      <c r="J41" s="123">
        <v>0</v>
      </c>
      <c r="K41" s="123">
        <v>0</v>
      </c>
      <c r="L41" s="123">
        <v>0</v>
      </c>
      <c r="M41" s="123"/>
      <c r="N41" s="123"/>
      <c r="O41" s="123"/>
      <c r="P41" s="123"/>
      <c r="Q41" s="123"/>
      <c r="R41" s="123"/>
      <c r="S41" s="123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x14ac:dyDescent="0.25">
      <c r="A42" s="46"/>
      <c r="E42" s="123"/>
      <c r="F42" s="131"/>
      <c r="G42" s="116"/>
      <c r="H42" s="130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AI42"/>
      <c r="AJ42"/>
      <c r="AK42" s="39"/>
      <c r="AL42" s="39"/>
      <c r="AP42" s="46"/>
      <c r="AQ42"/>
      <c r="AR42"/>
      <c r="AS42" s="39"/>
      <c r="AT42" s="39"/>
    </row>
    <row r="43" spans="1:49" x14ac:dyDescent="0.25">
      <c r="A43" s="46"/>
      <c r="H43" s="64"/>
      <c r="M43" s="46"/>
      <c r="N43" s="46"/>
      <c r="O43" s="46"/>
      <c r="P43" s="46"/>
      <c r="Q43" s="46"/>
      <c r="R43" s="46"/>
      <c r="S43" s="46"/>
      <c r="AI43"/>
      <c r="AJ43"/>
      <c r="AK43" s="39"/>
      <c r="AL43" s="39"/>
      <c r="AP43" s="46"/>
      <c r="AQ43"/>
      <c r="AR43"/>
      <c r="AS43" s="39"/>
      <c r="AT43" s="39"/>
    </row>
    <row r="44" spans="1:49" x14ac:dyDescent="0.25">
      <c r="B44" s="65"/>
      <c r="C44" s="45" t="s">
        <v>82</v>
      </c>
      <c r="H44" s="64"/>
      <c r="AI44"/>
      <c r="AJ44"/>
      <c r="AK44" s="39"/>
      <c r="AL44" s="39"/>
      <c r="AQ44"/>
      <c r="AR44"/>
      <c r="AS44" s="39"/>
      <c r="AT44" s="39"/>
    </row>
    <row r="45" spans="1:49" x14ac:dyDescent="0.25">
      <c r="B45" s="66"/>
      <c r="C45" s="45" t="s">
        <v>83</v>
      </c>
      <c r="H45" s="64"/>
      <c r="AI45"/>
      <c r="AJ45"/>
      <c r="AK45" s="39"/>
      <c r="AL45" s="39"/>
      <c r="AQ45"/>
      <c r="AR45"/>
      <c r="AS45" s="39"/>
      <c r="AT45" s="39"/>
    </row>
    <row r="46" spans="1:49" x14ac:dyDescent="0.25"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AI47"/>
      <c r="AJ47"/>
      <c r="AK47" s="39"/>
      <c r="AL47" s="39"/>
      <c r="AQ47"/>
      <c r="AR47"/>
      <c r="AS47" s="39"/>
      <c r="AT47" s="39"/>
    </row>
    <row r="48" spans="1:49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E49" s="43"/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B56" s="68"/>
      <c r="C56" s="68"/>
      <c r="D56"/>
      <c r="E56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ht="13.8" thickBot="1" x14ac:dyDescent="0.3"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I69"/>
      <c r="AJ69"/>
      <c r="AK69" s="39"/>
      <c r="AL69" s="39"/>
      <c r="AQ69"/>
      <c r="AR69"/>
      <c r="AS69" s="39"/>
      <c r="AT69" s="39"/>
    </row>
    <row r="70" spans="1:48" x14ac:dyDescent="0.25">
      <c r="AA70" s="46"/>
      <c r="AB70" s="46"/>
      <c r="AC70" s="46"/>
      <c r="AD70" s="46"/>
      <c r="AE70" s="46"/>
      <c r="AI70"/>
      <c r="AJ70"/>
      <c r="AK70" s="39"/>
      <c r="AL70" s="39"/>
      <c r="AQ70"/>
      <c r="AR70"/>
      <c r="AS70" s="39"/>
      <c r="AT70" s="39"/>
    </row>
    <row r="71" spans="1:48" x14ac:dyDescent="0.25">
      <c r="B71"/>
      <c r="C71"/>
      <c r="E71" s="68"/>
      <c r="F71" s="68"/>
      <c r="G71" s="1"/>
      <c r="H71"/>
      <c r="I71" s="68"/>
      <c r="J71"/>
      <c r="K71"/>
      <c r="L71" s="68"/>
      <c r="AC71" s="46"/>
      <c r="AD71" s="46"/>
      <c r="AE71" s="46"/>
      <c r="AI71"/>
      <c r="AJ71"/>
      <c r="AK71" s="39"/>
      <c r="AL71" s="39"/>
      <c r="AQ71"/>
      <c r="AR71"/>
      <c r="AS71" s="39"/>
      <c r="AT71" s="39"/>
    </row>
    <row r="72" spans="1:48" s="46" customFormat="1" x14ac:dyDescent="0.25">
      <c r="A72" s="45"/>
      <c r="B72" s="74"/>
      <c r="C72" s="74"/>
      <c r="D72" s="74"/>
      <c r="E72" s="74"/>
      <c r="F72" s="74"/>
      <c r="G72" s="74"/>
      <c r="H72" s="75"/>
      <c r="I72" s="74"/>
      <c r="J72" s="74"/>
      <c r="K72" s="74"/>
      <c r="L72" s="74"/>
      <c r="M72" s="45"/>
      <c r="N72" s="45"/>
      <c r="O72" s="45"/>
      <c r="P72" s="45"/>
      <c r="Q72" s="45"/>
      <c r="R72" s="45"/>
      <c r="S72" s="45"/>
      <c r="V72" s="45"/>
      <c r="W72" s="45"/>
      <c r="X72" s="45"/>
      <c r="Y72" s="45"/>
      <c r="Z72" s="45"/>
      <c r="AA72" s="45"/>
      <c r="AB72" s="45"/>
      <c r="AC72" s="45"/>
      <c r="AI72"/>
      <c r="AJ72" s="75"/>
      <c r="AK72" s="39"/>
      <c r="AL72" s="41"/>
      <c r="AM72" s="45"/>
      <c r="AN72" s="45"/>
      <c r="AQ72"/>
      <c r="AR72" s="75"/>
      <c r="AS72" s="39"/>
      <c r="AT72" s="41"/>
      <c r="AU72" s="45"/>
      <c r="AV72" s="45"/>
    </row>
    <row r="73" spans="1:48" s="46" customFormat="1" x14ac:dyDescent="0.25">
      <c r="A73" s="68"/>
      <c r="B73" s="76"/>
      <c r="C73" s="77"/>
      <c r="D73" s="76"/>
      <c r="E73" s="76"/>
      <c r="F73" s="76"/>
      <c r="G73" s="76"/>
      <c r="H73" s="75"/>
      <c r="I73" s="76"/>
      <c r="J73" s="76"/>
      <c r="K73" s="77"/>
      <c r="L73" s="77"/>
      <c r="M73" s="68"/>
      <c r="N73" s="68"/>
      <c r="O73" s="1"/>
      <c r="P73" s="45"/>
      <c r="Q73" s="45"/>
      <c r="R73" s="45"/>
      <c r="S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I73" s="42"/>
      <c r="AJ73" s="42"/>
      <c r="AK73" s="54"/>
    </row>
    <row r="74" spans="1:48" s="46" customFormat="1" x14ac:dyDescent="0.25">
      <c r="A74" s="74"/>
      <c r="B74" s="76"/>
      <c r="C74" s="76"/>
      <c r="D74" s="76"/>
      <c r="E74" s="76"/>
      <c r="F74" s="76"/>
      <c r="G74" s="76"/>
      <c r="H74" s="75"/>
      <c r="I74" s="76"/>
      <c r="J74" s="76"/>
      <c r="K74" s="76"/>
      <c r="L74" s="76"/>
      <c r="M74" s="74"/>
      <c r="N74" s="74"/>
      <c r="O74" s="74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I74" s="42"/>
      <c r="AJ74" s="42"/>
      <c r="AK74" s="54"/>
    </row>
    <row r="75" spans="1:48" x14ac:dyDescent="0.25">
      <c r="A75" s="76"/>
      <c r="B75"/>
      <c r="C75" s="39"/>
      <c r="D75" s="39"/>
      <c r="H75"/>
      <c r="I75"/>
      <c r="J75"/>
      <c r="K75" s="39"/>
      <c r="L75" s="39"/>
      <c r="M75" s="77"/>
      <c r="N75" s="77"/>
      <c r="O75" s="76"/>
      <c r="P75" s="46"/>
      <c r="Q75" s="46"/>
      <c r="R75" s="46"/>
      <c r="S75" s="46"/>
      <c r="AI75" s="38"/>
      <c r="AJ75" s="38"/>
      <c r="AK75" s="50"/>
    </row>
    <row r="76" spans="1:48" x14ac:dyDescent="0.25">
      <c r="A76" s="76"/>
      <c r="B76"/>
      <c r="C76" s="39"/>
      <c r="D76" s="39"/>
      <c r="H76" s="73"/>
      <c r="I76"/>
      <c r="J76"/>
      <c r="K76" s="39"/>
      <c r="L76" s="39"/>
      <c r="M76" s="76"/>
      <c r="N76" s="76"/>
      <c r="O76" s="76"/>
      <c r="P76" s="46"/>
      <c r="Q76" s="46"/>
      <c r="R76" s="46"/>
      <c r="S76" s="46"/>
      <c r="AI76" s="38"/>
      <c r="AJ76" s="38"/>
      <c r="AK76" s="50"/>
    </row>
    <row r="77" spans="1:48" x14ac:dyDescent="0.25">
      <c r="A77"/>
      <c r="B77"/>
      <c r="C77" s="39"/>
      <c r="D77" s="39"/>
      <c r="I77"/>
      <c r="J77"/>
      <c r="K77" s="39"/>
      <c r="L77" s="39"/>
      <c r="AI77" s="38"/>
      <c r="AJ77" s="38"/>
      <c r="AK77" s="50"/>
    </row>
    <row r="78" spans="1:48" x14ac:dyDescent="0.25">
      <c r="A78"/>
      <c r="B78"/>
      <c r="C78" s="39"/>
      <c r="D78" s="39"/>
      <c r="I78"/>
      <c r="J78"/>
      <c r="K78" s="39"/>
      <c r="L78" s="39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AI123" s="38"/>
      <c r="AJ123" s="38"/>
      <c r="AK123" s="50"/>
    </row>
    <row r="124" spans="1:37" x14ac:dyDescent="0.25">
      <c r="A124"/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C36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2026-03-28T12:22:08Z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