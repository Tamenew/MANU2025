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57F187FB-722E-436D-9FCA-BE730AB03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CHEAT_B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H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<sst xmlns="http://schemas.openxmlformats.org/spreadsheetml/2006/main" count="31" uniqueCount="26">
  <si>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</si>
  <si>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</si>
  <si>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</si>
  <si>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</si>
  <si>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</si>
  <si>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</si>
  <si>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</si>
  <si>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</si>
  <si>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</si>
  <si>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</si>
  <si>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</si>
  <si>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</si>
  <si>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</si>
  <si>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</si>
  <si>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</si>
  <si>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COM_BNDNET</t>
  </si>
  <si>
    <t>Table Name: Emissions</t>
  </si>
  <si>
    <t>Region</t>
  </si>
  <si>
    <t>Scenario</t>
  </si>
  <si>
    <t>Reduction Coeff</t>
  </si>
  <si>
    <t>Active Unit: Kt</t>
  </si>
  <si>
    <t>CommodityDesc\Period</t>
  </si>
  <si>
    <t>Reference</t>
  </si>
  <si>
    <t>ETH</t>
  </si>
  <si>
    <t>UP</t>
  </si>
  <si>
    <t>MANOILIMP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</si>
</sst>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8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  <xf numFmtId="0" fontId="3" fillId="2" borderId="0" xfId="0" applyFont="1" applyFill="1"/>
    <xf numFmtId="0" fontId="7" fillId="0" borderId="0" xfId="0" applyFont="1"/>
    <xf numFmtId="1" fontId="7" fillId="0" borderId="0" xfId="0" applyNumberFormat="1" applyFont="1"/>
    <xf numFmtId="2" fontId="0" fillId="0" borderId="0" xfId="3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R7" sqref="R7"/>
    </sheetView>
  </sheetViews>
  <sheetFormatPr defaultRowHeight="14.4" x14ac:dyDescent="0.3"/>
  <cols>
    <col min="2" max="2" width="11.44140625" customWidth="1"/>
    <col min="3" max="3" width="8.77734375" bestFit="1" customWidth="1"/>
    <col min="4" max="4" width="29.21875" customWidth="1"/>
    <col min="5" max="9" width="8.77734375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11.109375" bestFit="1" customWidth="1"/>
    <col min="15" max="16" width="8.44140625" bestFit="1" customWidth="1"/>
    <col min="18" max="18" width="14.21875" bestFit="1" customWidth="1"/>
  </cols>
  <sheetData>
    <row r="1" spans="1:17" x14ac:dyDescent="0.3">
      <c r="A1" t="s">
        <v>14</v>
      </c>
    </row>
    <row r="2" spans="1:17" x14ac:dyDescent="0.3">
      <c r="B2" s="1" t="s">
        <v>8</v>
      </c>
      <c r="H2" s="2"/>
      <c r="I2" s="3"/>
      <c r="J2" s="3"/>
      <c r="K2" s="3"/>
      <c r="L2" s="3"/>
      <c r="M2" s="3"/>
      <c r="N2" s="3"/>
      <c r="O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5" t="s">
        <v>10</v>
      </c>
      <c r="G3" s="5" t="s">
        <v>23</v>
      </c>
      <c r="H3" s="6" t="s">
        <v>3</v>
      </c>
      <c r="I3" s="6" t="s">
        <v>2</v>
      </c>
      <c r="J3" s="6" t="s">
        <v>11</v>
      </c>
      <c r="K3" s="6" t="s">
        <v>0</v>
      </c>
      <c r="L3" s="6" t="s">
        <v>5</v>
      </c>
      <c r="M3" s="6" t="s">
        <v>12</v>
      </c>
      <c r="N3" s="6" t="s">
        <v>4</v>
      </c>
      <c r="O3" s="6" t="s">
        <v>13</v>
      </c>
      <c r="Q3" s="8" t="s">
        <v>19</v>
      </c>
    </row>
    <row r="4" spans="1:17" x14ac:dyDescent="0.3">
      <c r="C4" t="s">
        <v>24</v>
      </c>
      <c r="D4" t="s">
        <v>15</v>
      </c>
      <c r="E4">
        <v>2030</v>
      </c>
      <c r="G4" s="7">
        <f>Q4*G20</f>
        <v>3360.9144136577074</v>
      </c>
      <c r="N4" t="s">
        <v>25</v>
      </c>
      <c r="Q4" s="11">
        <v>0.5</v>
      </c>
    </row>
    <row r="5" spans="1:17" x14ac:dyDescent="0.3">
      <c r="C5" t="s">
        <v>24</v>
      </c>
      <c r="D5" t="s">
        <v>15</v>
      </c>
      <c r="E5">
        <v>2050</v>
      </c>
      <c r="G5" s="7">
        <f>K20*Q5</f>
        <v>0</v>
      </c>
      <c r="N5" t="s">
        <v>25</v>
      </c>
      <c r="Q5" s="12">
        <v>0</v>
      </c>
    </row>
    <row r="17" spans="2:13" x14ac:dyDescent="0.3">
      <c r="B17" t="s">
        <v>16</v>
      </c>
    </row>
    <row r="18" spans="2:13" x14ac:dyDescent="0.3">
      <c r="B18" t="s">
        <v>20</v>
      </c>
    </row>
    <row r="19" spans="2:13" x14ac:dyDescent="0.3">
      <c r="B19" t="s">
        <v>18</v>
      </c>
      <c r="C19" t="s">
        <v>17</v>
      </c>
      <c r="D19" t="s">
        <v>21</v>
      </c>
      <c r="E19">
        <v>2022</v>
      </c>
      <c r="F19">
        <v>2025</v>
      </c>
      <c r="G19">
        <v>2030</v>
      </c>
      <c r="H19">
        <v>2035</v>
      </c>
      <c r="I19">
        <v>2040</v>
      </c>
      <c r="J19">
        <v>2045</v>
      </c>
      <c r="K19">
        <v>2050</v>
      </c>
    </row>
    <row r="20" spans="2:13" x14ac:dyDescent="0.3">
      <c r="B20" s="9" t="s">
        <v>22</v>
      </c>
      <c r="C20" s="9" t="s">
        <v>23</v>
      </c>
      <c r="D20" s="9" t="s">
        <v>25</v>
      </c>
      <c r="E20" s="10">
        <v>3256.4002605120013</v>
      </c>
      <c r="F20" s="10">
        <v>4273.3543497923511</v>
      </c>
      <c r="G20" s="10">
        <v>6721.8288273154149</v>
      </c>
      <c r="H20" s="10">
        <v>10573.188901576563</v>
      </c>
      <c r="I20" s="10">
        <v>16631.236293035749</v>
      </c>
      <c r="J20" s="10">
        <v>26160.321470615705</v>
      </c>
      <c r="K20" s="10">
        <v>41149.221103456555</v>
      </c>
      <c r="L20" s="9"/>
      <c r="M20" s="9"/>
    </row>
    <row r="21" spans="2:13" x14ac:dyDescent="0.3">
      <c r="E21" s="7"/>
      <c r="F21" s="7"/>
      <c r="G21" s="7"/>
      <c r="H21" s="7"/>
      <c r="I21" s="7"/>
    </row>
    <row r="22" spans="2:13" x14ac:dyDescent="0.3">
      <c r="E22" s="7"/>
      <c r="F22" s="7"/>
      <c r="G22" s="7"/>
      <c r="H22" s="7"/>
      <c r="I22" s="7"/>
    </row>
    <row r="23" spans="2:13" x14ac:dyDescent="0.3">
      <c r="E23" s="7"/>
      <c r="F23" s="7"/>
      <c r="G23" s="7"/>
      <c r="H23" s="7"/>
      <c r="I23" s="7"/>
    </row>
    <row r="24" spans="2:13" x14ac:dyDescent="0.3">
      <c r="E24" s="7"/>
      <c r="F24" s="7"/>
      <c r="G24" s="7"/>
      <c r="H24" s="7"/>
      <c r="I24" s="7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ELCHEAT_BND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2026-02-09T14:55:33Z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102844476699829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2026-01-08T22:51:16Z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0a62a599-2725-48b8-8814-d8e16b835b7b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