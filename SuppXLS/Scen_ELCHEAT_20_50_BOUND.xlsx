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MANU2025/SuppXLS/"/>
    </mc:Choice>
  </mc:AlternateContent>
  <xr:revisionPtr revIDLastSave="3" documentId="8_{C4DCE02A-42CF-45AF-B295-C69FD6AF9674}" xr6:coauthVersionLast="47" xr6:coauthVersionMax="47" xr10:uidLastSave="{440343A7-70CC-44A9-8876-C3FD87F16055}"/>
  <bookViews>
    <workbookView xWindow="-110" yWindow="-110" windowWidth="19420" windowHeight="11500" xr2:uid="{00000000-000D-0000-FFFF-FFFF00000000}"/>
  </bookViews>
  <sheets>
    <sheet name="ELCHEAT_BND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2" l="1"/>
  <c r="G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</authors>
  <commentList>
    <comment ref="B2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H2" authorId="1" shapeId="0" xr:uid="{00000000-0006-0000-0000-000002000000}">
      <text>
        <r>
          <rPr>
            <sz val="8"/>
            <color indexed="81"/>
            <rFont val="Tahoma"/>
            <family val="2"/>
          </rPr>
          <t>Define the qualifiers based upon technology set + topology + name + descriptions, according to both include and exclude specifications.</t>
        </r>
      </text>
    </comment>
    <comment ref="M2" authorId="1" shapeId="0" xr:uid="{00000000-0006-0000-0000-000003000000}">
      <text>
        <r>
          <rPr>
            <sz val="8"/>
            <color indexed="81"/>
            <rFont val="Tahoma"/>
            <family val="2"/>
          </rPr>
          <t>Define the qualifiers based upon commodity set + name + descriptions, according to both include and exclude specifications.</t>
        </r>
      </text>
    </comment>
  </commentList>
</comments>
</file>

<file path=xl/sharedStrings.xml><?xml version="1.0" encoding="utf-8"?>
<sst xmlns="http://schemas.openxmlformats.org/spreadsheetml/2006/main" count="31" uniqueCount="26">
  <si>
    <t>Pset_CI</t>
  </si>
  <si>
    <t>Year</t>
  </si>
  <si>
    <t>Pset_PN</t>
  </si>
  <si>
    <t>Pset_Set</t>
  </si>
  <si>
    <t>Cset_CN</t>
  </si>
  <si>
    <t>Pset_CO</t>
  </si>
  <si>
    <t>Attribute</t>
  </si>
  <si>
    <t>LimType</t>
  </si>
  <si>
    <t>~TFM_INS</t>
  </si>
  <si>
    <t>TimeSlice</t>
  </si>
  <si>
    <t>AllRegions</t>
  </si>
  <si>
    <t>Pset_PD</t>
  </si>
  <si>
    <t>Cset_Set</t>
  </si>
  <si>
    <t>Cset_CD</t>
  </si>
  <si>
    <t>Trans - Insert</t>
  </si>
  <si>
    <t>COM_BNDNET</t>
  </si>
  <si>
    <t>Table Name: Emissions</t>
  </si>
  <si>
    <t>Region</t>
  </si>
  <si>
    <t>Scenario</t>
  </si>
  <si>
    <t>Reduction Coeff</t>
  </si>
  <si>
    <t>Active Unit: Kt</t>
  </si>
  <si>
    <t>CommodityDesc\Period</t>
  </si>
  <si>
    <t>Reference</t>
  </si>
  <si>
    <t>ETH</t>
  </si>
  <si>
    <t>ELCHEAT</t>
  </si>
  <si>
    <t>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</si>
</sst>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3" fillId="0" borderId="0"/>
    <xf numFmtId="0" fontId="1" fillId="0" borderId="0"/>
  </cellStyleXfs>
  <cellXfs count="10">
    <xf numFmtId="0" fontId="0" fillId="0" borderId="0" xfId="0"/>
    <xf numFmtId="0" fontId="4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2" borderId="1" xfId="0" applyFont="1" applyFill="1" applyBorder="1"/>
    <xf numFmtId="0" fontId="2" fillId="3" borderId="1" xfId="0" applyFont="1" applyFill="1" applyBorder="1"/>
    <xf numFmtId="0" fontId="3" fillId="2" borderId="1" xfId="0" applyFont="1" applyFill="1" applyBorder="1"/>
    <xf numFmtId="1" fontId="0" fillId="0" borderId="0" xfId="0" applyNumberFormat="1"/>
    <xf numFmtId="0" fontId="3" fillId="2" borderId="0" xfId="0" applyFont="1" applyFill="1"/>
    <xf numFmtId="9" fontId="0" fillId="0" borderId="0" xfId="0" applyNumberFormat="1" applyAlignment="1">
      <alignment horizontal="center"/>
    </xf>
  </cellXfs>
  <cellStyles count="3">
    <cellStyle name="Normal" xfId="0" builtinId="0"/>
    <cellStyle name="Normal 10" xfId="1" xr:uid="{00000000-0005-0000-0000-000001000000}"/>
    <cellStyle name="Normale_Scen_UC_IND-StrucConst" xfId="2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4"/>
  <sheetViews>
    <sheetView tabSelected="1" topLeftCell="B1" workbookViewId="0">
      <selection activeCell="G20" sqref="G20"/>
    </sheetView>
  </sheetViews>
  <sheetFormatPr defaultRowHeight="14.5" x14ac:dyDescent="0.35"/>
  <cols>
    <col min="2" max="2" width="11.453125" customWidth="1"/>
    <col min="3" max="3" width="8.81640625" bestFit="1" customWidth="1"/>
    <col min="4" max="4" width="29.26953125" customWidth="1"/>
    <col min="5" max="9" width="8.7265625" customWidth="1"/>
    <col min="10" max="11" width="8.453125" bestFit="1" customWidth="1"/>
    <col min="12" max="12" width="7.54296875" bestFit="1" customWidth="1"/>
    <col min="13" max="13" width="8.54296875" bestFit="1" customWidth="1"/>
    <col min="14" max="14" width="8.7265625" bestFit="1" customWidth="1"/>
    <col min="15" max="16" width="8.453125" bestFit="1" customWidth="1"/>
    <col min="18" max="18" width="14.26953125" bestFit="1" customWidth="1"/>
  </cols>
  <sheetData>
    <row r="1" spans="1:17" x14ac:dyDescent="0.35">
      <c r="A1" t="s">
        <v>14</v>
      </c>
    </row>
    <row r="2" spans="1:17" x14ac:dyDescent="0.35">
      <c r="B2" s="1" t="s">
        <v>8</v>
      </c>
      <c r="H2" s="2"/>
      <c r="I2" s="3"/>
      <c r="J2" s="3"/>
      <c r="K2" s="3"/>
      <c r="L2" s="3"/>
      <c r="M2" s="3"/>
      <c r="N2" s="3"/>
      <c r="O2" s="3"/>
    </row>
    <row r="3" spans="1:17" ht="15" thickBot="1" x14ac:dyDescent="0.4">
      <c r="B3" s="4" t="s">
        <v>9</v>
      </c>
      <c r="C3" s="4" t="s">
        <v>7</v>
      </c>
      <c r="D3" s="4" t="s">
        <v>6</v>
      </c>
      <c r="E3" s="4" t="s">
        <v>1</v>
      </c>
      <c r="F3" s="5" t="s">
        <v>10</v>
      </c>
      <c r="G3" s="5" t="s">
        <v>23</v>
      </c>
      <c r="H3" s="6" t="s">
        <v>3</v>
      </c>
      <c r="I3" s="6" t="s">
        <v>2</v>
      </c>
      <c r="J3" s="6" t="s">
        <v>11</v>
      </c>
      <c r="K3" s="6" t="s">
        <v>0</v>
      </c>
      <c r="L3" s="6" t="s">
        <v>5</v>
      </c>
      <c r="M3" s="6" t="s">
        <v>12</v>
      </c>
      <c r="N3" s="6" t="s">
        <v>4</v>
      </c>
      <c r="O3" s="6" t="s">
        <v>13</v>
      </c>
      <c r="Q3" s="8" t="s">
        <v>19</v>
      </c>
    </row>
    <row r="4" spans="1:17" x14ac:dyDescent="0.35">
      <c r="C4" t="s">
        <v>25</v>
      </c>
      <c r="D4" t="s">
        <v>15</v>
      </c>
      <c r="E4">
        <v>2030</v>
      </c>
      <c r="G4" s="7">
        <f>Q4*G20</f>
        <v>1344.364</v>
      </c>
      <c r="N4" t="s">
        <v>24</v>
      </c>
      <c r="Q4" s="9">
        <v>0.2</v>
      </c>
    </row>
    <row r="5" spans="1:17" x14ac:dyDescent="0.35">
      <c r="C5" t="s">
        <v>25</v>
      </c>
      <c r="D5" t="s">
        <v>15</v>
      </c>
      <c r="E5">
        <v>2050</v>
      </c>
      <c r="G5" s="7">
        <f>K20*Q5</f>
        <v>20574.61</v>
      </c>
      <c r="N5" t="s">
        <v>24</v>
      </c>
      <c r="Q5" s="9">
        <v>0.5</v>
      </c>
    </row>
    <row r="17" spans="2:11" x14ac:dyDescent="0.35">
      <c r="B17" t="s">
        <v>16</v>
      </c>
    </row>
    <row r="18" spans="2:11" x14ac:dyDescent="0.35">
      <c r="B18" t="s">
        <v>20</v>
      </c>
    </row>
    <row r="19" spans="2:11" x14ac:dyDescent="0.35">
      <c r="B19" t="s">
        <v>18</v>
      </c>
      <c r="C19" t="s">
        <v>17</v>
      </c>
      <c r="D19" t="s">
        <v>21</v>
      </c>
      <c r="E19">
        <v>2022</v>
      </c>
      <c r="F19">
        <v>2025</v>
      </c>
      <c r="G19">
        <v>2030</v>
      </c>
      <c r="H19">
        <v>2035</v>
      </c>
      <c r="I19">
        <v>2040</v>
      </c>
      <c r="J19">
        <v>2045</v>
      </c>
      <c r="K19">
        <v>2050</v>
      </c>
    </row>
    <row r="20" spans="2:11" x14ac:dyDescent="0.35">
      <c r="B20" t="s">
        <v>22</v>
      </c>
      <c r="C20" t="s">
        <v>23</v>
      </c>
      <c r="D20" t="s">
        <v>24</v>
      </c>
      <c r="E20" s="7">
        <v>3256.4</v>
      </c>
      <c r="F20" s="7">
        <v>4273.3500000000004</v>
      </c>
      <c r="G20" s="7">
        <v>6721.82</v>
      </c>
      <c r="H20" s="7">
        <v>10573.18</v>
      </c>
      <c r="I20" s="7">
        <v>16631.23</v>
      </c>
      <c r="J20" s="7">
        <v>26160.32</v>
      </c>
      <c r="K20" s="7">
        <v>41149.22</v>
      </c>
    </row>
    <row r="21" spans="2:11" x14ac:dyDescent="0.35">
      <c r="E21" s="7"/>
      <c r="F21" s="7"/>
      <c r="G21" s="7"/>
      <c r="H21" s="7"/>
      <c r="I21" s="7"/>
    </row>
    <row r="22" spans="2:11" x14ac:dyDescent="0.35">
      <c r="E22" s="7"/>
      <c r="F22" s="7"/>
      <c r="G22" s="7"/>
      <c r="H22" s="7"/>
      <c r="I22" s="7"/>
    </row>
    <row r="23" spans="2:11" x14ac:dyDescent="0.35">
      <c r="E23" s="7"/>
      <c r="F23" s="7"/>
      <c r="G23" s="7"/>
      <c r="H23" s="7"/>
      <c r="I23" s="7"/>
    </row>
    <row r="24" spans="2:11" x14ac:dyDescent="0.35">
      <c r="E24" s="7"/>
      <c r="F24" s="7"/>
      <c r="G24" s="7"/>
      <c r="H24" s="7"/>
      <c r="I24" s="7"/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ELCHEAT_BND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2009-05-27T15:40:55Z</dcterms:created>
  <dcterms:modified xsi:type="dcterms:W3CDTF">2026-01-09T00:10:06Z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102844476699829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2026-01-08T22:51:16Z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0a62a599-2725-48b8-8814-d8e16b835b7b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