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Demands/"/>
    </mc:Choice>
  </mc:AlternateContent>
  <xr:revisionPtr revIDLastSave="20" documentId="8_{8B08A6C4-EA9F-4949-B255-79E78B46908B}" xr6:coauthVersionLast="47" xr6:coauthVersionMax="47" xr10:uidLastSave="{0C5B5F2A-1FA1-4217-A7E3-F2AE6ECC92E1}"/>
  <bookViews>
    <workbookView xWindow="-120" yWindow="-120" windowWidth="29040" windowHeight="15720" xr2:uid="{160EB8D6-37B5-4ECA-BC09-5923A721DAB9}"/>
  </bookViews>
  <sheets>
    <sheet name="Dr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8" i="1" s="1"/>
  <c r="E43" i="1"/>
  <c r="D9" i="1" s="1"/>
  <c r="E41" i="1"/>
  <c r="D7" i="1" s="1"/>
  <c r="C42" i="1"/>
  <c r="C43" i="1"/>
  <c r="C41" i="1"/>
  <c r="E33" i="1"/>
  <c r="F33" i="1" s="1"/>
  <c r="F27" i="1" l="1"/>
  <c r="F43" i="1" s="1"/>
  <c r="E9" i="1" s="1"/>
  <c r="G33" i="1"/>
  <c r="F25" i="1"/>
  <c r="F41" i="1" s="1"/>
  <c r="E7" i="1" s="1"/>
  <c r="F26" i="1"/>
  <c r="F42" i="1" s="1"/>
  <c r="E8" i="1" s="1"/>
  <c r="K33" i="1" l="1"/>
  <c r="J33" i="1"/>
  <c r="G25" i="1"/>
  <c r="G41" i="1" s="1"/>
  <c r="F7" i="1" s="1"/>
  <c r="I33" i="1"/>
  <c r="H33" i="1"/>
  <c r="G27" i="1"/>
  <c r="G43" i="1" s="1"/>
  <c r="F9" i="1" s="1"/>
  <c r="G26" i="1"/>
  <c r="G42" i="1" s="1"/>
  <c r="F8" i="1" s="1"/>
  <c r="H25" i="1" l="1"/>
  <c r="H41" i="1" s="1"/>
  <c r="G7" i="1" s="1"/>
  <c r="H26" i="1"/>
  <c r="H42" i="1" s="1"/>
  <c r="G8" i="1" s="1"/>
  <c r="H27" i="1"/>
  <c r="H43" i="1" s="1"/>
  <c r="G9" i="1" s="1"/>
  <c r="I26" i="1"/>
  <c r="I42" i="1" s="1"/>
  <c r="H8" i="1" s="1"/>
  <c r="I27" i="1"/>
  <c r="I43" i="1" s="1"/>
  <c r="H9" i="1" s="1"/>
  <c r="I25" i="1"/>
  <c r="I41" i="1" s="1"/>
  <c r="H7" i="1" s="1"/>
  <c r="J26" i="1"/>
  <c r="J42" i="1" s="1"/>
  <c r="I8" i="1" s="1"/>
  <c r="J27" i="1"/>
  <c r="J43" i="1" s="1"/>
  <c r="I9" i="1" s="1"/>
  <c r="J25" i="1"/>
  <c r="J41" i="1" s="1"/>
  <c r="I7" i="1" s="1"/>
  <c r="K26" i="1"/>
  <c r="K42" i="1" s="1"/>
  <c r="J8" i="1" s="1"/>
  <c r="K27" i="1"/>
  <c r="K43" i="1" s="1"/>
  <c r="J9" i="1" s="1"/>
  <c r="K25" i="1"/>
  <c r="K41" i="1" s="1"/>
  <c r="J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362159CF-2334-4854-9B8A-46AD8BBFAAF6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B2D5AC-C4D6-440F-8F7E-086A69E27FEB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<sst xmlns="http://schemas.openxmlformats.org/spreadsheetml/2006/main" count="61" uniqueCount="36">
  <si>
    <t>* declare the demand drives and initial allocations</t>
  </si>
  <si>
    <t>~DRVR_Scenario: : DEM_Ref</t>
  </si>
  <si>
    <t>~DRVR_Table</t>
  </si>
  <si>
    <t>Region</t>
  </si>
  <si>
    <t>Driver</t>
  </si>
  <si>
    <t>\~2022</t>
  </si>
  <si>
    <t>\~2025</t>
  </si>
  <si>
    <t>\~2030</t>
  </si>
  <si>
    <t>\~2035</t>
  </si>
  <si>
    <t>\~2040</t>
  </si>
  <si>
    <t>\~2045</t>
  </si>
  <si>
    <t>\~2050</t>
  </si>
  <si>
    <t>ETH</t>
  </si>
  <si>
    <t>CEMENTHEAT</t>
  </si>
  <si>
    <t>MANHEATG_MVA_INDUCED</t>
  </si>
  <si>
    <t>MANELCG_INDUCED</t>
  </si>
  <si>
    <t>CEMENTHEAT_INDUCED</t>
  </si>
  <si>
    <t>Attribute</t>
  </si>
  <si>
    <t>CommName</t>
  </si>
  <si>
    <t>*Unit</t>
  </si>
  <si>
    <t>*</t>
  </si>
  <si>
    <t>Demand Commodity Name</t>
  </si>
  <si>
    <t>Demand Unit</t>
  </si>
  <si>
    <t>Demand Value</t>
  </si>
  <si>
    <t>*Units</t>
  </si>
  <si>
    <t>GWh</t>
  </si>
  <si>
    <t>Demand</t>
  </si>
  <si>
    <t>MANHEAT</t>
  </si>
  <si>
    <t>MANELC</t>
  </si>
  <si>
    <t>Total energy consumption</t>
  </si>
  <si>
    <t>Normalized share</t>
  </si>
  <si>
    <t>Ggrowth rate between 2021-2025</t>
  </si>
  <si>
    <t>Ggrowth rate between 2025-2030</t>
  </si>
  <si>
    <t>Ggrowth rate between 2031-2050</t>
  </si>
  <si>
    <t>Manufacturing Growth target</t>
  </si>
  <si>
    <t>Growth rate between 2016-2023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</si>
</sst>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color indexed="5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600074</xdr:colOff>
      <xdr:row>10</xdr:row>
      <xdr:rowOff>0</xdr:rowOff>
    </xdr:from>
    <xdr:to>
      <xdr:col>14</xdr:col>
      <xdr:colOff>581024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948FFF-158E-48C9-B803-AFC013AE63CD}"/>
            </a:ext>
          </a:extLst>
        </xdr:cNvPr>
        <xdr:cNvSpPr txBox="1"/>
      </xdr:nvSpPr>
      <xdr:spPr>
        <a:xfrm>
          <a:off x="838199" y="1647825"/>
          <a:ext cx="8220075" cy="1200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7983-E6F1-4569-8577-20F46CF180DE}">
  <dimension ref="A1:AF43"/>
  <sheetViews>
    <sheetView tabSelected="1" workbookViewId="0">
      <selection activeCell="Q12" sqref="Q12"/>
    </sheetView>
  </sheetViews>
  <sheetFormatPr defaultRowHeight="12.75" x14ac:dyDescent="0.2"/>
  <cols>
    <col min="1" max="1" width="3.5703125" customWidth="1"/>
    <col min="3" max="3" width="26.28515625" bestFit="1" customWidth="1"/>
    <col min="4" max="4" width="22.7109375" bestFit="1" customWidth="1"/>
    <col min="13" max="13" width="21" bestFit="1" customWidth="1"/>
  </cols>
  <sheetData>
    <row r="1" spans="1:32" ht="15" x14ac:dyDescent="0.2">
      <c r="A1" s="1" t="s">
        <v>0</v>
      </c>
    </row>
    <row r="3" spans="1:32" x14ac:dyDescent="0.2">
      <c r="B3" s="2"/>
      <c r="C3" s="3" t="s">
        <v>1</v>
      </c>
    </row>
    <row r="4" spans="1:32" x14ac:dyDescent="0.2">
      <c r="B4" s="2"/>
      <c r="C4" s="2"/>
    </row>
    <row r="5" spans="1:32" x14ac:dyDescent="0.2">
      <c r="B5" s="2"/>
      <c r="C5" s="4" t="s">
        <v>2</v>
      </c>
    </row>
    <row r="6" spans="1:32" x14ac:dyDescent="0.2">
      <c r="B6" s="2" t="s">
        <v>3</v>
      </c>
      <c r="C6" s="2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x14ac:dyDescent="0.2">
      <c r="B7" t="s">
        <v>12</v>
      </c>
      <c r="C7" t="s">
        <v>14</v>
      </c>
      <c r="D7" s="6">
        <f>E41</f>
        <v>1</v>
      </c>
      <c r="E7" s="6">
        <f t="shared" ref="E7:J7" si="0">F41</f>
        <v>1.659845158569847</v>
      </c>
      <c r="F7" s="6">
        <f t="shared" si="0"/>
        <v>4.6540065532424837</v>
      </c>
      <c r="G7" s="6">
        <f t="shared" si="0"/>
        <v>7.3265174166767775</v>
      </c>
      <c r="H7" s="6">
        <f t="shared" si="0"/>
        <v>11.533687553463022</v>
      </c>
      <c r="I7" s="6">
        <f t="shared" si="0"/>
        <v>18.156777772494095</v>
      </c>
      <c r="J7" s="6">
        <f t="shared" si="0"/>
        <v>28.583102979996355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2">
      <c r="B8" t="s">
        <v>12</v>
      </c>
      <c r="C8" t="s">
        <v>15</v>
      </c>
      <c r="D8" s="6">
        <f t="shared" ref="D8:J9" si="1">E42</f>
        <v>1</v>
      </c>
      <c r="E8" s="6">
        <f t="shared" si="1"/>
        <v>1.6597215270719585</v>
      </c>
      <c r="F8" s="6">
        <f t="shared" si="1"/>
        <v>4.6536599053648855</v>
      </c>
      <c r="G8" s="6">
        <f t="shared" si="1"/>
        <v>7.3259717101584005</v>
      </c>
      <c r="H8" s="6">
        <f t="shared" si="1"/>
        <v>11.532828481120612</v>
      </c>
      <c r="I8" s="6">
        <f t="shared" si="1"/>
        <v>18.155425387531409</v>
      </c>
      <c r="J8" s="6">
        <f t="shared" si="1"/>
        <v>28.580974003195433</v>
      </c>
    </row>
    <row r="9" spans="1:32" x14ac:dyDescent="0.2">
      <c r="B9" t="s">
        <v>12</v>
      </c>
      <c r="C9" t="s">
        <v>16</v>
      </c>
      <c r="D9" s="6">
        <f t="shared" si="1"/>
        <v>1</v>
      </c>
      <c r="E9" s="6">
        <f t="shared" si="1"/>
        <v>1.6598096540757792</v>
      </c>
      <c r="F9" s="6">
        <f t="shared" si="1"/>
        <v>4.6539070029035816</v>
      </c>
      <c r="G9" s="6">
        <f t="shared" si="1"/>
        <v>7.3263607006766049</v>
      </c>
      <c r="H9" s="6">
        <f t="shared" si="1"/>
        <v>11.533440845064225</v>
      </c>
      <c r="I9" s="6">
        <f t="shared" si="1"/>
        <v>18.156389394574997</v>
      </c>
      <c r="J9" s="6">
        <f t="shared" si="1"/>
        <v>28.582491580429984</v>
      </c>
    </row>
    <row r="22" spans="2:15" x14ac:dyDescent="0.2">
      <c r="B22" t="s">
        <v>17</v>
      </c>
      <c r="C22" t="s">
        <v>18</v>
      </c>
      <c r="D22" t="s">
        <v>19</v>
      </c>
      <c r="E22">
        <v>2022</v>
      </c>
      <c r="F22">
        <v>2025</v>
      </c>
      <c r="G22">
        <v>2030</v>
      </c>
      <c r="H22">
        <v>2035</v>
      </c>
      <c r="I22">
        <v>2040</v>
      </c>
      <c r="J22">
        <v>2045</v>
      </c>
      <c r="K22">
        <v>2050</v>
      </c>
    </row>
    <row r="23" spans="2:15" x14ac:dyDescent="0.2">
      <c r="B23" t="s">
        <v>20</v>
      </c>
      <c r="C23" t="s">
        <v>21</v>
      </c>
      <c r="D23" t="s">
        <v>22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</row>
    <row r="24" spans="2:15" x14ac:dyDescent="0.2">
      <c r="B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2:15" x14ac:dyDescent="0.2">
      <c r="B25" t="s">
        <v>26</v>
      </c>
      <c r="C25" t="s">
        <v>27</v>
      </c>
      <c r="D25" t="s">
        <v>25</v>
      </c>
      <c r="E25">
        <v>2605.1202084096003</v>
      </c>
      <c r="F25">
        <f>F33*F35</f>
        <v>4324.096165421146</v>
      </c>
      <c r="G25">
        <f t="shared" ref="G25:K25" si="2">G33*G35</f>
        <v>12124.246521922705</v>
      </c>
      <c r="H25">
        <f t="shared" si="2"/>
        <v>19086.458579449572</v>
      </c>
      <c r="I25">
        <f t="shared" si="2"/>
        <v>30046.642523008799</v>
      </c>
      <c r="J25">
        <f t="shared" si="2"/>
        <v>47300.588694726619</v>
      </c>
      <c r="K25">
        <f t="shared" si="2"/>
        <v>74462.41919224117</v>
      </c>
    </row>
    <row r="26" spans="2:15" x14ac:dyDescent="0.2">
      <c r="B26" t="s">
        <v>26</v>
      </c>
      <c r="C26" t="s">
        <v>28</v>
      </c>
      <c r="D26" t="s">
        <v>25</v>
      </c>
      <c r="E26">
        <v>2861.5612011470998</v>
      </c>
      <c r="F26">
        <f>F33*F36</f>
        <v>4749.3947265777324</v>
      </c>
      <c r="G26">
        <f t="shared" ref="G26:K26" si="3">G33*G36</f>
        <v>13316.732628526041</v>
      </c>
      <c r="H26">
        <f t="shared" si="3"/>
        <v>20963.716406490545</v>
      </c>
      <c r="I26">
        <f t="shared" si="3"/>
        <v>33001.894521058981</v>
      </c>
      <c r="J26">
        <f t="shared" si="3"/>
        <v>51952.860879280932</v>
      </c>
      <c r="K26">
        <f t="shared" si="3"/>
        <v>81786.20629853796</v>
      </c>
    </row>
    <row r="27" spans="2:15" x14ac:dyDescent="0.2">
      <c r="B27" t="s">
        <v>26</v>
      </c>
      <c r="C27" t="s">
        <v>13</v>
      </c>
      <c r="D27" t="s">
        <v>25</v>
      </c>
      <c r="E27">
        <v>7676.2275585426005</v>
      </c>
      <c r="F27">
        <f>F33*F37</f>
        <v>12741.076608551557</v>
      </c>
      <c r="G27">
        <f t="shared" ref="G27:K27" si="4">G33*G37</f>
        <v>35724.449190582869</v>
      </c>
      <c r="H27">
        <f t="shared" si="4"/>
        <v>56238.811914357233</v>
      </c>
      <c r="I27">
        <f t="shared" si="4"/>
        <v>88533.316459702866</v>
      </c>
      <c r="J27">
        <f t="shared" si="4"/>
        <v>139372.5766342672</v>
      </c>
      <c r="K27">
        <f t="shared" si="4"/>
        <v>219405.7095615085</v>
      </c>
    </row>
    <row r="31" spans="2:15" x14ac:dyDescent="0.2">
      <c r="M31" t="s">
        <v>31</v>
      </c>
      <c r="N31" t="s">
        <v>32</v>
      </c>
      <c r="O31" t="s">
        <v>33</v>
      </c>
    </row>
    <row r="32" spans="2:15" x14ac:dyDescent="0.2">
      <c r="M32" t="s">
        <v>34</v>
      </c>
      <c r="N32" t="s">
        <v>34</v>
      </c>
      <c r="O32" t="s">
        <v>35</v>
      </c>
    </row>
    <row r="33" spans="3:15" x14ac:dyDescent="0.2">
      <c r="D33" t="s">
        <v>29</v>
      </c>
      <c r="E33">
        <f>E25+E26+E27</f>
        <v>13142.908968099302</v>
      </c>
      <c r="F33">
        <f t="shared" ref="F33" si="5">$E33*(1+$M33)^(F22-$E22)</f>
        <v>21814.567500550434</v>
      </c>
      <c r="G33">
        <f>$F33*(1+$N33)^(G22-$F22)</f>
        <v>61165.428341031613</v>
      </c>
      <c r="H33">
        <f>$G33*(1+$O33)^(H22-$G22)</f>
        <v>96288.986900297343</v>
      </c>
      <c r="I33">
        <f t="shared" ref="I33:K33" si="6">$G33*(1+$O33)^(I22-$G22)</f>
        <v>151581.85350377063</v>
      </c>
      <c r="J33">
        <f t="shared" si="6"/>
        <v>238626.02620827474</v>
      </c>
      <c r="K33">
        <f t="shared" si="6"/>
        <v>375654.33505228761</v>
      </c>
      <c r="M33">
        <v>0.184</v>
      </c>
      <c r="N33">
        <v>0.22900000000000001</v>
      </c>
      <c r="O33">
        <v>9.5000000000000001E-2</v>
      </c>
    </row>
    <row r="35" spans="3:15" x14ac:dyDescent="0.2">
      <c r="C35" t="s">
        <v>30</v>
      </c>
      <c r="D35" t="s">
        <v>27</v>
      </c>
      <c r="E35">
        <v>0.19822057738765797</v>
      </c>
      <c r="F35">
        <v>0.19822057738765797</v>
      </c>
      <c r="G35">
        <v>0.19822057738765797</v>
      </c>
      <c r="H35">
        <v>0.19822057738765797</v>
      </c>
      <c r="I35">
        <v>0.19822057738765797</v>
      </c>
      <c r="J35">
        <v>0.19822057738765797</v>
      </c>
      <c r="K35">
        <v>0.19822057738765797</v>
      </c>
    </row>
    <row r="36" spans="3:15" x14ac:dyDescent="0.2">
      <c r="C36" t="s">
        <v>30</v>
      </c>
      <c r="D36" t="s">
        <v>28</v>
      </c>
      <c r="E36">
        <v>0.21771665775440627</v>
      </c>
      <c r="F36">
        <v>0.21771665775440627</v>
      </c>
      <c r="G36">
        <v>0.21771665775440627</v>
      </c>
      <c r="H36">
        <v>0.21771665775440627</v>
      </c>
      <c r="I36">
        <v>0.21771665775440627</v>
      </c>
      <c r="J36">
        <v>0.21771665775440627</v>
      </c>
      <c r="K36">
        <v>0.21771665775440627</v>
      </c>
    </row>
    <row r="37" spans="3:15" x14ac:dyDescent="0.2">
      <c r="C37" t="s">
        <v>30</v>
      </c>
      <c r="D37" t="s">
        <v>13</v>
      </c>
      <c r="E37">
        <v>0.58406276485793585</v>
      </c>
      <c r="F37">
        <v>0.58406276485793585</v>
      </c>
      <c r="G37">
        <v>0.58406276485793585</v>
      </c>
      <c r="H37">
        <v>0.58406276485793585</v>
      </c>
      <c r="I37">
        <v>0.58406276485793585</v>
      </c>
      <c r="J37">
        <v>0.58406276485793585</v>
      </c>
      <c r="K37">
        <v>0.58406276485793585</v>
      </c>
    </row>
    <row r="41" spans="3:15" x14ac:dyDescent="0.2">
      <c r="C41" t="str">
        <f>C7</f>
        <v>MANHEATG_MVA_INDUCED</v>
      </c>
      <c r="E41">
        <f>E25/$E25</f>
        <v>1</v>
      </c>
      <c r="F41">
        <f>F25/$E25</f>
        <v>1.659845158569847</v>
      </c>
      <c r="G41">
        <f t="shared" ref="G41:K41" si="7">G25/$E25</f>
        <v>4.6540065532424837</v>
      </c>
      <c r="H41">
        <f t="shared" si="7"/>
        <v>7.3265174166767775</v>
      </c>
      <c r="I41">
        <f t="shared" si="7"/>
        <v>11.533687553463022</v>
      </c>
      <c r="J41">
        <f t="shared" si="7"/>
        <v>18.156777772494095</v>
      </c>
      <c r="K41">
        <f t="shared" si="7"/>
        <v>28.583102979996355</v>
      </c>
    </row>
    <row r="42" spans="3:15" x14ac:dyDescent="0.2">
      <c r="C42" t="str">
        <f t="shared" ref="C42:C43" si="8">C8</f>
        <v>MANELCG_INDUCED</v>
      </c>
      <c r="E42">
        <f t="shared" ref="E42:E43" si="9">E26/$E26</f>
        <v>1</v>
      </c>
      <c r="F42">
        <f t="shared" ref="F42:K43" si="10">F26/$E26</f>
        <v>1.6597215270719585</v>
      </c>
      <c r="G42">
        <f t="shared" si="10"/>
        <v>4.6536599053648855</v>
      </c>
      <c r="H42">
        <f t="shared" si="10"/>
        <v>7.3259717101584005</v>
      </c>
      <c r="I42">
        <f t="shared" si="10"/>
        <v>11.532828481120612</v>
      </c>
      <c r="J42">
        <f t="shared" si="10"/>
        <v>18.155425387531409</v>
      </c>
      <c r="K42">
        <f t="shared" si="10"/>
        <v>28.580974003195433</v>
      </c>
    </row>
    <row r="43" spans="3:15" x14ac:dyDescent="0.2">
      <c r="C43" t="str">
        <f t="shared" si="8"/>
        <v>CEMENTHEAT_INDUCED</v>
      </c>
      <c r="E43">
        <f t="shared" si="9"/>
        <v>1</v>
      </c>
      <c r="F43">
        <f t="shared" si="10"/>
        <v>1.6598096540757792</v>
      </c>
      <c r="G43">
        <f t="shared" si="10"/>
        <v>4.6539070029035816</v>
      </c>
      <c r="H43">
        <f t="shared" si="10"/>
        <v>7.3263607006766049</v>
      </c>
      <c r="I43">
        <f t="shared" si="10"/>
        <v>11.533440845064225</v>
      </c>
      <c r="J43">
        <f t="shared" si="10"/>
        <v>18.156389394574997</v>
      </c>
      <c r="K43">
        <f t="shared" si="10"/>
        <v>28.582491580429984</v>
      </c>
    </row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2026-01-02T11:42:56Z</dcterms:created>
  <dcterms:modified xsi:type="dcterms:W3CDTF">2026-01-02T12:46:48Z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2026-01-02T11:43:17Z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897fea44-54a9-458c-b4a9-33f9f75572b8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