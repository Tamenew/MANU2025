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Demands/"/>
    </mc:Choice>
  </mc:AlternateContent>
  <xr:revisionPtr revIDLastSave="0" documentId="8_{FB7A98AE-A1E6-4A3D-AD43-77C5E59E19C1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Y_Data" sheetId="6" r:id="rId1"/>
    <sheet name="CAR_De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F18" i="2"/>
  <c r="F19" i="2"/>
  <c r="F20" i="2"/>
  <c r="F21" i="2"/>
  <c r="F16" i="2"/>
  <c r="F11" i="2"/>
  <c r="F12" i="2"/>
  <c r="F13" i="2"/>
  <c r="F14" i="2"/>
  <c r="F15" i="2"/>
  <c r="F10" i="2"/>
  <c r="F5" i="2"/>
  <c r="F6" i="2"/>
  <c r="F7" i="2"/>
  <c r="F8" i="2"/>
  <c r="F9" i="2"/>
  <c r="F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<sst xmlns="http://schemas.openxmlformats.org/spreadsheetml/2006/main" count="67" uniqueCount="18">
  <si>
    <t>Year</t>
  </si>
  <si>
    <t>Cset_CN</t>
  </si>
  <si>
    <t>Attribute</t>
  </si>
  <si>
    <t>LimType</t>
  </si>
  <si>
    <t>~TFM_INS</t>
  </si>
  <si>
    <t>TimeSlice</t>
  </si>
  <si>
    <t>Trans - Insert</t>
  </si>
  <si>
    <t>Demand</t>
  </si>
  <si>
    <t>Demand Driver (annual growth)</t>
  </si>
  <si>
    <t>~TFM_FILL</t>
  </si>
  <si>
    <t>Operation_Sum_Avg_Count</t>
  </si>
  <si>
    <t>Scenario Name</t>
  </si>
  <si>
    <t>A</t>
  </si>
  <si>
    <t>BASE</t>
  </si>
  <si>
    <t>ETH</t>
  </si>
  <si>
    <t>MANELC</t>
  </si>
  <si>
    <t>MANHEAT</t>
  </si>
  <si>
    <t>CEMENTHEAT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</si>
</sst>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64C8FF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8" fillId="5" borderId="0" applyNumberFormat="0" applyBorder="0" applyAlignment="0" applyProtection="0"/>
    <xf numFmtId="164" fontId="8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6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5" fillId="0" borderId="0" xfId="5"/>
    <xf numFmtId="0" fontId="7" fillId="4" borderId="1" xfId="5" applyFont="1" applyFill="1" applyBorder="1"/>
    <xf numFmtId="0" fontId="2" fillId="2" borderId="0" xfId="0" applyFont="1" applyFill="1"/>
    <xf numFmtId="9" fontId="0" fillId="0" borderId="0" xfId="0" applyNumberFormat="1"/>
    <xf numFmtId="0" fontId="9" fillId="0" borderId="0" xfId="0" applyFont="1"/>
    <xf numFmtId="2" fontId="9" fillId="6" borderId="0" xfId="0" applyNumberFormat="1" applyFont="1" applyFill="1"/>
    <xf numFmtId="1" fontId="0" fillId="0" borderId="0" xfId="0" applyNumberFormat="1"/>
    <xf numFmtId="0" fontId="10" fillId="7" borderId="0" xfId="1" applyFont="1" applyFill="1" applyBorder="1" applyAlignment="1">
      <alignment horizontal="center" wrapText="1"/>
    </xf>
    <xf numFmtId="0" fontId="2" fillId="0" borderId="0" xfId="5" applyFont="1"/>
  </cellXfs>
  <cellStyles count="19">
    <cellStyle name="40% - Accent3" xfId="1" builtinId="39"/>
    <cellStyle name="Comma 2" xfId="2" xr:uid="{00000000-0005-0000-0000-000001000000}"/>
    <cellStyle name="Normal" xfId="0" builtinId="0"/>
    <cellStyle name="Normal 10" xfId="3" xr:uid="{00000000-0005-0000-0000-000003000000}"/>
    <cellStyle name="Normal 2" xfId="4" xr:uid="{00000000-0005-0000-0000-000004000000}"/>
    <cellStyle name="Normal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4" xfId="14" xr:uid="{00000000-0005-0000-0000-00000E000000}"/>
    <cellStyle name="Percent 4 2" xfId="15" xr:uid="{00000000-0005-0000-0000-00000F000000}"/>
    <cellStyle name="Percent 5" xfId="16" xr:uid="{00000000-0005-0000-0000-000010000000}"/>
    <cellStyle name="Percent 6" xfId="17" xr:uid="{00000000-0005-0000-0000-000011000000}"/>
    <cellStyle name="Standard_Sce_D_Extraction" xfId="18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7</xdr:col>
      <xdr:colOff>0</xdr:colOff>
      <xdr:row>12</xdr:row>
      <xdr:rowOff>11481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C0F53A-5B57-4D5E-9D79-6D7C12BE0FD0}"/>
            </a:ext>
          </a:extLst>
        </xdr:cNvPr>
        <xdr:cNvSpPr txBox="1"/>
      </xdr:nvSpPr>
      <xdr:spPr>
        <a:xfrm>
          <a:off x="609600" y="1714500"/>
          <a:ext cx="6918960" cy="5905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Table to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 information from BY template (scenario column, Base) when this template in synchronised in VEDA-FE. This table collect data for the commodity DTCAR (Cset_CN) for the year 2005 and for the attribute demand.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257175</xdr:colOff>
      <xdr:row>1</xdr:row>
      <xdr:rowOff>276224</xdr:rowOff>
    </xdr:from>
    <xdr:to>
      <xdr:col>19</xdr:col>
      <xdr:colOff>114300</xdr:colOff>
      <xdr:row>4</xdr:row>
      <xdr:rowOff>190499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95BD66-AD36-4A97-8B61-C2F960A7A4D6}"/>
            </a:ext>
          </a:extLst>
        </xdr:cNvPr>
        <xdr:cNvSpPr txBox="1"/>
      </xdr:nvSpPr>
      <xdr:spPr>
        <a:xfrm>
          <a:off x="8982075" y="466724"/>
          <a:ext cx="2905125" cy="600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demand projection based on BY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collected in the BY_Data sheet.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6"/>
  <sheetViews>
    <sheetView workbookViewId="0">
      <selection activeCell="I10" sqref="I10"/>
    </sheetView>
  </sheetViews>
  <sheetFormatPr defaultRowHeight="15" x14ac:dyDescent="0.25"/>
  <cols>
    <col min="2" max="2" width="26.42578125" bestFit="1" customWidth="1"/>
    <col min="4" max="4" width="10.140625" bestFit="1" customWidth="1"/>
  </cols>
  <sheetData>
    <row r="2" spans="2:9" x14ac:dyDescent="0.25">
      <c r="B2" s="1" t="s">
        <v>9</v>
      </c>
      <c r="C2" s="6"/>
      <c r="D2" s="6"/>
      <c r="E2" s="6"/>
      <c r="F2" s="6"/>
      <c r="G2" s="6"/>
      <c r="H2" s="6"/>
    </row>
    <row r="3" spans="2:9" ht="15.75" thickBot="1" x14ac:dyDescent="0.3">
      <c r="B3" s="7" t="s">
        <v>10</v>
      </c>
      <c r="C3" s="7" t="s">
        <v>11</v>
      </c>
      <c r="D3" s="3" t="s">
        <v>5</v>
      </c>
      <c r="E3" s="3" t="s">
        <v>3</v>
      </c>
      <c r="F3" s="3" t="s">
        <v>2</v>
      </c>
      <c r="G3" s="3" t="s">
        <v>0</v>
      </c>
      <c r="H3" s="4" t="s">
        <v>14</v>
      </c>
      <c r="I3" s="5" t="s">
        <v>1</v>
      </c>
    </row>
    <row r="4" spans="2:9" x14ac:dyDescent="0.25">
      <c r="B4" t="s">
        <v>12</v>
      </c>
      <c r="C4" s="10" t="s">
        <v>13</v>
      </c>
      <c r="F4" t="s">
        <v>7</v>
      </c>
      <c r="G4">
        <v>2022</v>
      </c>
      <c r="H4" s="11">
        <v>2861.5612011470998</v>
      </c>
      <c r="I4" t="s">
        <v>15</v>
      </c>
    </row>
    <row r="5" spans="2:9" x14ac:dyDescent="0.25">
      <c r="B5" t="s">
        <v>12</v>
      </c>
      <c r="C5" s="10" t="s">
        <v>13</v>
      </c>
      <c r="F5" t="s">
        <v>7</v>
      </c>
      <c r="G5">
        <v>2022</v>
      </c>
      <c r="H5">
        <v>2605.1202084096003</v>
      </c>
      <c r="I5" t="s">
        <v>16</v>
      </c>
    </row>
    <row r="6" spans="2:9" x14ac:dyDescent="0.25">
      <c r="B6" t="s">
        <v>12</v>
      </c>
      <c r="C6" s="10" t="s">
        <v>13</v>
      </c>
      <c r="F6" t="s">
        <v>7</v>
      </c>
      <c r="G6">
        <v>2022</v>
      </c>
      <c r="H6">
        <v>7676.2275585426005</v>
      </c>
      <c r="I6" t="s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1" workbookViewId="0">
      <selection activeCell="J25" sqref="J25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0.7109375" customWidth="1"/>
    <col min="7" max="7" width="8.42578125" bestFit="1" customWidth="1"/>
    <col min="10" max="10" width="14.85546875" customWidth="1"/>
  </cols>
  <sheetData>
    <row r="1" spans="1:10" x14ac:dyDescent="0.25">
      <c r="A1" t="s">
        <v>6</v>
      </c>
    </row>
    <row r="2" spans="1:10" ht="23.25" x14ac:dyDescent="0.25">
      <c r="B2" s="1" t="s">
        <v>4</v>
      </c>
      <c r="G2" s="2"/>
      <c r="J2" s="13" t="s">
        <v>8</v>
      </c>
    </row>
    <row r="3" spans="1:10" ht="15.75" thickBot="1" x14ac:dyDescent="0.3">
      <c r="B3" s="3" t="s">
        <v>5</v>
      </c>
      <c r="C3" s="3" t="s">
        <v>3</v>
      </c>
      <c r="D3" s="3" t="s">
        <v>2</v>
      </c>
      <c r="E3" s="3" t="s">
        <v>0</v>
      </c>
      <c r="F3" s="4" t="s">
        <v>14</v>
      </c>
      <c r="G3" s="5" t="s">
        <v>1</v>
      </c>
      <c r="J3" s="8" t="s">
        <v>14</v>
      </c>
    </row>
    <row r="4" spans="1:10" x14ac:dyDescent="0.25">
      <c r="D4" t="s">
        <v>7</v>
      </c>
      <c r="E4">
        <v>2025</v>
      </c>
      <c r="F4" s="12">
        <f>BY_Data!$H$4*(1+$J$4)^(E4-2022)</f>
        <v>3755.2094422803921</v>
      </c>
      <c r="G4" s="14" t="s">
        <v>15</v>
      </c>
      <c r="J4">
        <v>9.4822485813413682E-2</v>
      </c>
    </row>
    <row r="5" spans="1:10" x14ac:dyDescent="0.25">
      <c r="D5" t="s">
        <v>7</v>
      </c>
      <c r="E5">
        <v>2030</v>
      </c>
      <c r="F5" s="12">
        <f>BY_Data!$H$4*(1+$J$4)^(E5-2022)</f>
        <v>5906.8059925697244</v>
      </c>
      <c r="G5" s="14" t="s">
        <v>15</v>
      </c>
      <c r="J5" s="9"/>
    </row>
    <row r="6" spans="1:10" x14ac:dyDescent="0.25">
      <c r="D6" t="s">
        <v>7</v>
      </c>
      <c r="E6">
        <v>2035</v>
      </c>
      <c r="F6" s="12">
        <f>BY_Data!$H$4*(1+$J$4)^(E6-2022)</f>
        <v>9291.1880336213835</v>
      </c>
      <c r="G6" s="14" t="s">
        <v>15</v>
      </c>
      <c r="J6" s="9"/>
    </row>
    <row r="7" spans="1:10" x14ac:dyDescent="0.25">
      <c r="D7" t="s">
        <v>7</v>
      </c>
      <c r="E7">
        <v>2040</v>
      </c>
      <c r="F7" s="12">
        <f>BY_Data!$H$4*(1+$J$4)^(E7-2022)</f>
        <v>14614.696197014158</v>
      </c>
      <c r="G7" s="14" t="s">
        <v>15</v>
      </c>
      <c r="J7" s="9"/>
    </row>
    <row r="8" spans="1:10" x14ac:dyDescent="0.25">
      <c r="D8" t="s">
        <v>7</v>
      </c>
      <c r="E8">
        <v>2045</v>
      </c>
      <c r="F8" s="12">
        <f>BY_Data!$H$4*(1+$J$4)^(E8-2022)</f>
        <v>22988.378252395603</v>
      </c>
      <c r="G8" s="14" t="s">
        <v>15</v>
      </c>
    </row>
    <row r="9" spans="1:10" x14ac:dyDescent="0.25">
      <c r="D9" t="s">
        <v>7</v>
      </c>
      <c r="E9">
        <v>2050</v>
      </c>
      <c r="F9" s="12">
        <f>BY_Data!$H$4*(1+$J$4)^(E9-2022)</f>
        <v>36159.871375443494</v>
      </c>
      <c r="G9" s="14" t="s">
        <v>15</v>
      </c>
    </row>
    <row r="10" spans="1:10" x14ac:dyDescent="0.25">
      <c r="D10" t="s">
        <v>7</v>
      </c>
      <c r="E10">
        <v>2025</v>
      </c>
      <c r="F10" s="12">
        <f>BY_Data!$H$5*(1+$J$4)^(E10-2022)</f>
        <v>3418.6834798338832</v>
      </c>
      <c r="G10" s="14" t="s">
        <v>16</v>
      </c>
    </row>
    <row r="11" spans="1:10" x14ac:dyDescent="0.25">
      <c r="D11" t="s">
        <v>7</v>
      </c>
      <c r="E11">
        <v>2030</v>
      </c>
      <c r="F11" s="12">
        <f>BY_Data!$H$5*(1+$J$4)^(E11-2022)</f>
        <v>5377.4630618523306</v>
      </c>
      <c r="G11" s="14" t="s">
        <v>16</v>
      </c>
    </row>
    <row r="12" spans="1:10" x14ac:dyDescent="0.25">
      <c r="D12" t="s">
        <v>7</v>
      </c>
      <c r="E12">
        <v>2035</v>
      </c>
      <c r="F12" s="12">
        <f>BY_Data!$H$5*(1+$J$4)^(E12-2022)</f>
        <v>8458.5511212612601</v>
      </c>
      <c r="G12" s="14" t="s">
        <v>16</v>
      </c>
    </row>
    <row r="13" spans="1:10" x14ac:dyDescent="0.25">
      <c r="D13" t="s">
        <v>7</v>
      </c>
      <c r="E13">
        <v>2040</v>
      </c>
      <c r="F13" s="12">
        <f>BY_Data!$H$5*(1+$J$4)^(E13-2022)</f>
        <v>13304.989034428607</v>
      </c>
      <c r="G13" s="14" t="s">
        <v>16</v>
      </c>
    </row>
    <row r="14" spans="1:10" x14ac:dyDescent="0.25">
      <c r="D14" t="s">
        <v>7</v>
      </c>
      <c r="E14">
        <v>2045</v>
      </c>
      <c r="F14" s="12">
        <f>BY_Data!$H$5*(1+$J$4)^(E14-2022)</f>
        <v>20928.257176492592</v>
      </c>
      <c r="G14" s="14" t="s">
        <v>16</v>
      </c>
    </row>
    <row r="15" spans="1:10" x14ac:dyDescent="0.25">
      <c r="D15" t="s">
        <v>7</v>
      </c>
      <c r="E15">
        <v>2050</v>
      </c>
      <c r="F15" s="12">
        <f>BY_Data!$H$5*(1+$J$4)^(E15-2022)</f>
        <v>32919.376882765209</v>
      </c>
      <c r="G15" s="14" t="s">
        <v>16</v>
      </c>
    </row>
    <row r="16" spans="1:10" x14ac:dyDescent="0.25">
      <c r="D16" t="s">
        <v>7</v>
      </c>
      <c r="E16">
        <v>2025</v>
      </c>
      <c r="F16" s="12">
        <f>BY_Data!$H$6*(1+$J$4)^(E16-2022)</f>
        <v>10073.466958308234</v>
      </c>
      <c r="G16" s="14" t="s">
        <v>17</v>
      </c>
    </row>
    <row r="17" spans="4:7" x14ac:dyDescent="0.25">
      <c r="D17" t="s">
        <v>7</v>
      </c>
      <c r="E17">
        <v>2030</v>
      </c>
      <c r="F17" s="12">
        <f>BY_Data!$H$6*(1+$J$4)^(E17-2022)</f>
        <v>15845.192101763289</v>
      </c>
      <c r="G17" s="14" t="s">
        <v>17</v>
      </c>
    </row>
    <row r="18" spans="4:7" x14ac:dyDescent="0.25">
      <c r="D18" t="s">
        <v>7</v>
      </c>
      <c r="E18">
        <v>2035</v>
      </c>
      <c r="F18" s="12">
        <f>BY_Data!$H$6*(1+$J$4)^(E18-2022)</f>
        <v>24923.902940358392</v>
      </c>
      <c r="G18" s="14" t="s">
        <v>17</v>
      </c>
    </row>
    <row r="19" spans="4:7" x14ac:dyDescent="0.25">
      <c r="D19" t="s">
        <v>7</v>
      </c>
      <c r="E19">
        <v>2040</v>
      </c>
      <c r="F19" s="12">
        <f>BY_Data!$H$6*(1+$J$4)^(E19-2022)</f>
        <v>39204.380343945282</v>
      </c>
      <c r="G19" s="14" t="s">
        <v>17</v>
      </c>
    </row>
    <row r="20" spans="4:7" x14ac:dyDescent="0.25">
      <c r="D20" t="s">
        <v>7</v>
      </c>
      <c r="E20">
        <v>2045</v>
      </c>
      <c r="F20" s="12">
        <f>BY_Data!$H$6*(1+$J$4)^(E20-2022)</f>
        <v>61667.044757422016</v>
      </c>
      <c r="G20" s="14" t="s">
        <v>17</v>
      </c>
    </row>
    <row r="21" spans="4:7" x14ac:dyDescent="0.25">
      <c r="D21" t="s">
        <v>7</v>
      </c>
      <c r="E21">
        <v>2050</v>
      </c>
      <c r="F21" s="12">
        <f>BY_Data!$H$6*(1+$J$4)^(E21-2022)</f>
        <v>96999.987648094466</v>
      </c>
      <c r="G21" s="14" t="s">
        <v>17</v>
      </c>
    </row>
  </sheetData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08AC4BBF4A4438E9A649DEAB2EDF9" ma:contentTypeVersion="17" ma:contentTypeDescription="Create a new document." ma:contentTypeScope="" ma:versionID="ed515f2f7f3fe186e9c757a98c7f39b2">
  <xsd:schema xmlns:xsd="http://www.w3.org/2001/XMLSchema" xmlns:xs="http://www.w3.org/2001/XMLSchema" xmlns:p="http://schemas.microsoft.com/office/2006/metadata/properties" xmlns:ns3="f63ba53f-dca8-420d-a747-437a2148828f" xmlns:ns4="87fc486d-7884-4473-94a1-a5ac62ef3e40" targetNamespace="http://schemas.microsoft.com/office/2006/metadata/properties" ma:root="true" ma:fieldsID="280621a9494e95371ecae688853eeae0" ns3:_="" ns4:_="">
    <xsd:import namespace="f63ba53f-dca8-420d-a747-437a2148828f"/>
    <xsd:import namespace="87fc486d-7884-4473-94a1-a5ac62ef3e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ba53f-dca8-420d-a747-437a214882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c486d-7884-4473-94a1-a5ac62ef3e4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63ba53f-dca8-420d-a747-437a2148828f" xsi:nil="true"/>
  </documentManagement>
</p:properties>
</file>

<file path=customXml/itemProps1.xml><?xml version="1.0" encoding="utf-8"?>
<ds:datastoreItem xmlns:ds="http://schemas.openxmlformats.org/officeDocument/2006/customXml" ds:itemID="{A3784220-AEE1-4FBC-97C2-C5C2A021D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3ba53f-dca8-420d-a747-437a2148828f"/>
    <ds:schemaRef ds:uri="87fc486d-7884-4473-94a1-a5ac62ef3e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4B5503-F1AB-4689-BAFE-3FC9EDF746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7830D9-2B10-44C3-BFED-EF767BE0E3FC}">
  <ds:schemaRefs>
    <ds:schemaRef ds:uri="http://purl.org/dc/elements/1.1/"/>
    <ds:schemaRef ds:uri="http://schemas.microsoft.com/office/2006/documentManagement/types"/>
    <ds:schemaRef ds:uri="http://purl.org/dc/terms/"/>
    <ds:schemaRef ds:uri="87fc486d-7884-4473-94a1-a5ac62ef3e40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f63ba53f-dca8-420d-a747-437a2148828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BY_Data</vt:lpstr>
      <vt:lpstr>CAR_Dem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2009-05-27T15:40:55Z</dcterms:created>
  <dcterms:modified xsi:type="dcterms:W3CDTF">2026-01-05T16:43:51Z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585486888885498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2026-01-05T16:08:29Z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335c9dec-2240-4cb8-ad23-874bf5a45f1f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  <property fmtid="{D5CDD505-2E9C-101B-9397-08002B2CF9AE}" pid="11" name="ContentTypeId">
    <vt:lpwstr>0x010100C3708AC4BBF4A4438E9A649DEAB2EDF9</vt:lpwstr>
  </property>
</Properties>
</file>