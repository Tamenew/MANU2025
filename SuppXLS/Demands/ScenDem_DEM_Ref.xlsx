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umb-my.sharepoint.com/personal/meselu_tegenie_mellaku_nmbu_no/Documents/Documents/GitHub/MANU2025/SuppXLS/Demands/"/>
    </mc:Choice>
  </mc:AlternateContent>
  <xr:revisionPtr revIDLastSave="40" documentId="8_{58EC1AE1-54D5-4B4A-A424-D83F3962879E}" xr6:coauthVersionLast="47" xr6:coauthVersionMax="47" xr10:uidLastSave="{5DD99FEC-FECF-4422-BCB8-116F48E7A44C}"/>
  <bookViews>
    <workbookView xWindow="-120" yWindow="-120" windowWidth="29040" windowHeight="15720" xr2:uid="{160EB8D6-37B5-4ECA-BC09-5923A721DAB9}"/>
  </bookViews>
  <sheets>
    <sheet name="Driv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" l="1"/>
  <c r="Q8" i="1"/>
  <c r="Q6" i="1"/>
  <c r="N26" i="1"/>
  <c r="N27" i="1"/>
  <c r="N25" i="1"/>
  <c r="R6" i="1" s="1"/>
  <c r="R7" i="1"/>
  <c r="R8" i="1"/>
  <c r="E33" i="1"/>
  <c r="E41" i="1"/>
  <c r="D8" i="1" s="1"/>
  <c r="E42" i="1"/>
  <c r="D9" i="1" s="1"/>
  <c r="H33" i="1" l="1"/>
  <c r="H40" i="1" s="1"/>
  <c r="G7" i="1" s="1"/>
  <c r="G33" i="1"/>
  <c r="G40" i="1" s="1"/>
  <c r="F7" i="1" s="1"/>
  <c r="E40" i="1"/>
  <c r="D7" i="1" s="1"/>
  <c r="F33" i="1"/>
  <c r="F40" i="1" s="1"/>
  <c r="E7" i="1" s="1"/>
  <c r="K33" i="1"/>
  <c r="K40" i="1" s="1"/>
  <c r="J7" i="1" s="1"/>
  <c r="J33" i="1"/>
  <c r="J40" i="1" s="1"/>
  <c r="I7" i="1" s="1"/>
  <c r="I33" i="1"/>
  <c r="I40" i="1" s="1"/>
  <c r="H7" i="1" s="1"/>
  <c r="I26" i="1" l="1"/>
  <c r="I27" i="1"/>
  <c r="I25" i="1"/>
  <c r="R25" i="1" s="1"/>
  <c r="J26" i="1"/>
  <c r="J27" i="1"/>
  <c r="J25" i="1"/>
  <c r="S25" i="1" s="1"/>
  <c r="K26" i="1"/>
  <c r="K27" i="1"/>
  <c r="K25" i="1"/>
  <c r="T25" i="1" s="1"/>
  <c r="F27" i="1"/>
  <c r="F26" i="1"/>
  <c r="F25" i="1"/>
  <c r="O25" i="1" s="1"/>
  <c r="G26" i="1"/>
  <c r="G27" i="1"/>
  <c r="G25" i="1"/>
  <c r="P25" i="1" s="1"/>
  <c r="H26" i="1"/>
  <c r="H25" i="1"/>
  <c r="Q25" i="1" s="1"/>
  <c r="H27" i="1"/>
  <c r="F41" i="1" l="1"/>
  <c r="E8" i="1" s="1"/>
  <c r="O26" i="1"/>
  <c r="F42" i="1"/>
  <c r="E9" i="1" s="1"/>
  <c r="O27" i="1"/>
  <c r="K42" i="1"/>
  <c r="J9" i="1" s="1"/>
  <c r="T27" i="1"/>
  <c r="K41" i="1"/>
  <c r="J8" i="1" s="1"/>
  <c r="T26" i="1"/>
  <c r="H42" i="1"/>
  <c r="G9" i="1" s="1"/>
  <c r="Q27" i="1"/>
  <c r="J42" i="1"/>
  <c r="I9" i="1" s="1"/>
  <c r="S27" i="1"/>
  <c r="J41" i="1"/>
  <c r="I8" i="1" s="1"/>
  <c r="S26" i="1"/>
  <c r="G42" i="1"/>
  <c r="F9" i="1" s="1"/>
  <c r="P27" i="1"/>
  <c r="I42" i="1"/>
  <c r="H9" i="1" s="1"/>
  <c r="R27" i="1"/>
  <c r="H41" i="1"/>
  <c r="G8" i="1" s="1"/>
  <c r="Q26" i="1"/>
  <c r="G41" i="1"/>
  <c r="F8" i="1" s="1"/>
  <c r="P26" i="1"/>
  <c r="I41" i="1"/>
  <c r="H8" i="1" s="1"/>
  <c r="R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C3" authorId="0" shapeId="0" xr:uid="{362159CF-2334-4854-9B8A-46AD8BBFAAF6}">
      <text>
        <r>
          <rPr>
            <sz val="8"/>
            <color indexed="81"/>
            <rFont val="Tahoma"/>
            <family val="2"/>
          </rPr>
          <t xml:space="preserve">Scenario with which these drivers, series and allocations are to be associated. </t>
        </r>
        <r>
          <rPr>
            <sz val="8"/>
            <color indexed="81"/>
            <rFont val="Tahoma"/>
            <family val="2"/>
          </rPr>
          <t>Normally</t>
        </r>
        <r>
          <rPr>
            <sz val="8"/>
            <color indexed="81"/>
            <rFont val="Tahoma"/>
            <family val="2"/>
          </rPr>
          <t xml:space="preserve"> a set provided for BASE.</t>
        </r>
      </text>
    </comment>
    <comment ref="C5" authorId="0" shapeId="0" xr:uid="{00B2D5AC-C4D6-440F-8F7E-086A69E27FEB}">
      <text>
        <r>
          <rPr>
            <sz val="8"/>
            <color indexed="81"/>
            <rFont val="Tahoma"/>
            <family val="2"/>
          </rPr>
          <t>Driver timeseries by region.</t>
        </r>
      </text>
    </comment>
  </commentList>
</comments>
</file>

<file path=xl/sharedStrings.xml><?xml version="1.0" encoding="utf-8"?>
<sst xmlns="http://schemas.openxmlformats.org/spreadsheetml/2006/main" count="60" uniqueCount="33">
  <si>
    <t>* declare the demand drives and initial allocations</t>
  </si>
  <si>
    <t>~DRVR_Scenario: : DEM_Ref</t>
  </si>
  <si>
    <t>~DRVR_Table</t>
  </si>
  <si>
    <t>Region</t>
  </si>
  <si>
    <t>Driver</t>
  </si>
  <si>
    <t>\~2022</t>
  </si>
  <si>
    <t>\~2025</t>
  </si>
  <si>
    <t>\~2030</t>
  </si>
  <si>
    <t>\~2035</t>
  </si>
  <si>
    <t>\~2040</t>
  </si>
  <si>
    <t>\~2045</t>
  </si>
  <si>
    <t>\~2050</t>
  </si>
  <si>
    <t>ETH</t>
  </si>
  <si>
    <t>CEMENTHEAT</t>
  </si>
  <si>
    <t>MANHEATG_MVA_INDUCED</t>
  </si>
  <si>
    <t>MANELCG_INDUCED</t>
  </si>
  <si>
    <t>CEMENTHEAT_INDUCED</t>
  </si>
  <si>
    <t>Attribute</t>
  </si>
  <si>
    <t>CommName</t>
  </si>
  <si>
    <t>*Unit</t>
  </si>
  <si>
    <t>*</t>
  </si>
  <si>
    <t>Demand Commodity Name</t>
  </si>
  <si>
    <t>Demand Unit</t>
  </si>
  <si>
    <t>Demand Value</t>
  </si>
  <si>
    <t>*Units</t>
  </si>
  <si>
    <t>GWh</t>
  </si>
  <si>
    <t>Demand</t>
  </si>
  <si>
    <t>MANHEAT</t>
  </si>
  <si>
    <t>MANELC</t>
  </si>
  <si>
    <t>Ggrowth rate 2016-2023</t>
  </si>
  <si>
    <t>Total energy consumption</t>
  </si>
  <si>
    <t>Normalized share</t>
  </si>
  <si>
    <t>MVA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</si>
</sst>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2"/>
      <color indexed="53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quotePrefix="1" applyFont="1" applyAlignment="1">
      <alignment horizontal="left"/>
    </xf>
    <xf numFmtId="0" fontId="2" fillId="2" borderId="0" xfId="0" applyFont="1" applyFill="1"/>
    <xf numFmtId="0" fontId="4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600074</xdr:colOff>
      <xdr:row>10</xdr:row>
      <xdr:rowOff>0</xdr:rowOff>
    </xdr:from>
    <xdr:to>
      <xdr:col>15</xdr:col>
      <xdr:colOff>581024</xdr:colOff>
      <xdr:row>17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948FFF-158E-48C9-B803-AFC013AE63CD}"/>
            </a:ext>
          </a:extLst>
        </xdr:cNvPr>
        <xdr:cNvSpPr txBox="1"/>
      </xdr:nvSpPr>
      <xdr:spPr>
        <a:xfrm>
          <a:off x="838199" y="1647825"/>
          <a:ext cx="8220075" cy="12001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dynamic of some drivers (such as Gross Domestic Product, Population, Sectoral Productivity  Agriculture, ..…) over the time horizon can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be defined in the ~DRVR_Table.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is possible to build multiple files called ScenDem_&lt;file name1&gt;, ScenDem_&lt;file name2&gt; with different drivers to generate for example a reference demand projection, a low or high demand projection and so on.</a:t>
          </a: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7983-E6F1-4569-8577-20F46CF180DE}">
  <dimension ref="A1:AG42"/>
  <sheetViews>
    <sheetView tabSelected="1" topLeftCell="C3" workbookViewId="0">
      <selection activeCell="Z12" sqref="Z12"/>
    </sheetView>
  </sheetViews>
  <sheetFormatPr defaultRowHeight="12.75" x14ac:dyDescent="0.2"/>
  <cols>
    <col min="1" max="1" width="3.5703125" customWidth="1"/>
    <col min="3" max="3" width="26.28515625" bestFit="1" customWidth="1"/>
    <col min="4" max="4" width="22.7109375" bestFit="1" customWidth="1"/>
    <col min="14" max="14" width="21" bestFit="1" customWidth="1"/>
  </cols>
  <sheetData>
    <row r="1" spans="1:33" ht="15" x14ac:dyDescent="0.2">
      <c r="A1" s="1" t="s">
        <v>0</v>
      </c>
    </row>
    <row r="3" spans="1:33" x14ac:dyDescent="0.2">
      <c r="B3" s="2"/>
      <c r="C3" s="3" t="s">
        <v>1</v>
      </c>
    </row>
    <row r="4" spans="1:33" x14ac:dyDescent="0.2">
      <c r="B4" s="2"/>
      <c r="C4" s="2"/>
    </row>
    <row r="5" spans="1:33" x14ac:dyDescent="0.2">
      <c r="B5" s="2"/>
      <c r="C5" s="4" t="s">
        <v>2</v>
      </c>
    </row>
    <row r="6" spans="1:33" x14ac:dyDescent="0.2">
      <c r="B6" s="2" t="s">
        <v>3</v>
      </c>
      <c r="C6" s="2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  <c r="I6" s="5" t="s">
        <v>10</v>
      </c>
      <c r="J6" s="5" t="s">
        <v>11</v>
      </c>
      <c r="K6" s="5"/>
      <c r="L6" s="5"/>
      <c r="M6" s="5"/>
      <c r="N6" s="5"/>
      <c r="O6" s="5"/>
      <c r="P6" s="5"/>
      <c r="Q6" s="5" t="str">
        <f>C25</f>
        <v>MANHEAT</v>
      </c>
      <c r="R6" s="5">
        <f>N25</f>
        <v>1</v>
      </c>
      <c r="S6" s="5">
        <v>1.1313899642093279</v>
      </c>
      <c r="T6" s="5">
        <v>1.355542605066056</v>
      </c>
      <c r="U6" s="5">
        <v>1.5797849727706819</v>
      </c>
      <c r="V6" s="5">
        <v>1.7993320871074436</v>
      </c>
      <c r="W6" s="5">
        <v>2.0124119522236277</v>
      </c>
      <c r="X6" s="5">
        <v>2.2195959594185952</v>
      </c>
      <c r="Y6" s="5"/>
      <c r="Z6" s="5"/>
      <c r="AA6" s="5"/>
      <c r="AB6" s="5"/>
      <c r="AC6" s="5"/>
      <c r="AD6" s="5"/>
      <c r="AE6" s="5"/>
      <c r="AF6" s="5"/>
      <c r="AG6" s="5"/>
    </row>
    <row r="7" spans="1:33" x14ac:dyDescent="0.2">
      <c r="B7" t="s">
        <v>12</v>
      </c>
      <c r="C7" t="s">
        <v>14</v>
      </c>
      <c r="D7" s="6">
        <f>E40</f>
        <v>1</v>
      </c>
      <c r="E7" s="6">
        <f t="shared" ref="E7:J7" si="0">F40</f>
        <v>1.3122939466662673</v>
      </c>
      <c r="F7" s="6">
        <f t="shared" si="0"/>
        <v>2.0641899918834139</v>
      </c>
      <c r="G7" s="6">
        <f t="shared" si="0"/>
        <v>3.2468947474884935</v>
      </c>
      <c r="H7" s="6">
        <f t="shared" si="0"/>
        <v>5.1072457199781844</v>
      </c>
      <c r="I7" s="6">
        <f t="shared" si="0"/>
        <v>8.0335092058070838</v>
      </c>
      <c r="J7" s="6">
        <f t="shared" si="0"/>
        <v>12.636413773344517</v>
      </c>
      <c r="K7" s="6"/>
      <c r="L7" s="6"/>
      <c r="M7" s="6"/>
      <c r="N7" s="6"/>
      <c r="O7" s="6"/>
      <c r="P7" s="6"/>
      <c r="Q7" s="5" t="str">
        <f t="shared" ref="Q7:Q8" si="1">C26</f>
        <v>MANELC</v>
      </c>
      <c r="R7" s="5">
        <f t="shared" ref="R7:R8" si="2">N26</f>
        <v>1</v>
      </c>
      <c r="S7" s="5">
        <v>1.1595445352697871</v>
      </c>
      <c r="T7" s="6">
        <v>1.4475515909131265</v>
      </c>
      <c r="U7" s="6">
        <v>1.7577804289274863</v>
      </c>
      <c r="V7" s="6">
        <v>2.0860453157887049</v>
      </c>
      <c r="W7" s="6">
        <v>2.4309446431317987</v>
      </c>
      <c r="X7" s="6">
        <v>2.7936878195235799</v>
      </c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">
      <c r="B8" t="s">
        <v>12</v>
      </c>
      <c r="C8" t="s">
        <v>15</v>
      </c>
      <c r="D8" s="6">
        <f t="shared" ref="D8:J9" si="3">E41</f>
        <v>1</v>
      </c>
      <c r="E8" s="6">
        <f t="shared" si="3"/>
        <v>1.1595445352697871</v>
      </c>
      <c r="F8" s="6">
        <f t="shared" si="3"/>
        <v>1.4475515909131265</v>
      </c>
      <c r="G8" s="6">
        <f t="shared" si="3"/>
        <v>1.7577804289274863</v>
      </c>
      <c r="H8" s="6">
        <f t="shared" si="3"/>
        <v>2.0860453157887049</v>
      </c>
      <c r="I8" s="6">
        <f t="shared" si="3"/>
        <v>2.4309446431317987</v>
      </c>
      <c r="J8" s="6">
        <f t="shared" si="3"/>
        <v>2.7936878195235799</v>
      </c>
      <c r="Q8" s="5" t="str">
        <f t="shared" si="1"/>
        <v>CEMENTHEAT</v>
      </c>
      <c r="R8" s="5">
        <f t="shared" si="2"/>
        <v>1</v>
      </c>
      <c r="S8" s="5">
        <v>1.4306305127337586</v>
      </c>
      <c r="T8">
        <v>2.5345590792836878</v>
      </c>
      <c r="U8">
        <v>4.3677855830195487</v>
      </c>
      <c r="V8">
        <v>7.356118929966927</v>
      </c>
      <c r="W8">
        <v>12.165455955651089</v>
      </c>
      <c r="X8">
        <v>19.840815268166384</v>
      </c>
    </row>
    <row r="9" spans="1:33" x14ac:dyDescent="0.2">
      <c r="B9" t="s">
        <v>12</v>
      </c>
      <c r="C9" t="s">
        <v>16</v>
      </c>
      <c r="D9" s="6">
        <f t="shared" si="3"/>
        <v>1</v>
      </c>
      <c r="E9" s="6">
        <f t="shared" si="3"/>
        <v>1.4306305127337586</v>
      </c>
      <c r="F9" s="6">
        <f t="shared" si="3"/>
        <v>2.5345590792836878</v>
      </c>
      <c r="G9" s="6">
        <f t="shared" si="3"/>
        <v>4.3677855830195487</v>
      </c>
      <c r="H9" s="6">
        <f t="shared" si="3"/>
        <v>7.356118929966927</v>
      </c>
      <c r="I9" s="6">
        <f t="shared" si="3"/>
        <v>12.165455955651089</v>
      </c>
      <c r="J9" s="6">
        <f t="shared" si="3"/>
        <v>19.840815268166384</v>
      </c>
    </row>
    <row r="22" spans="2:20" x14ac:dyDescent="0.2">
      <c r="B22" t="s">
        <v>17</v>
      </c>
      <c r="C22" t="s">
        <v>18</v>
      </c>
      <c r="D22" t="s">
        <v>19</v>
      </c>
      <c r="E22">
        <v>2022</v>
      </c>
      <c r="F22">
        <v>2025</v>
      </c>
      <c r="G22">
        <v>2030</v>
      </c>
      <c r="H22">
        <v>2035</v>
      </c>
      <c r="I22">
        <v>2040</v>
      </c>
      <c r="J22">
        <v>2045</v>
      </c>
      <c r="K22">
        <v>2050</v>
      </c>
    </row>
    <row r="23" spans="2:20" x14ac:dyDescent="0.2">
      <c r="B23" t="s">
        <v>20</v>
      </c>
      <c r="C23" t="s">
        <v>21</v>
      </c>
      <c r="D23" t="s">
        <v>22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</row>
    <row r="24" spans="2:20" x14ac:dyDescent="0.2">
      <c r="B24" t="s">
        <v>24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25</v>
      </c>
    </row>
    <row r="25" spans="2:20" x14ac:dyDescent="0.2">
      <c r="B25" t="s">
        <v>26</v>
      </c>
      <c r="C25" t="s">
        <v>27</v>
      </c>
      <c r="D25" t="s">
        <v>25</v>
      </c>
      <c r="E25">
        <v>2605.1202084096003</v>
      </c>
      <c r="F25">
        <f>F33*F35</f>
        <v>2947.4068593535344</v>
      </c>
      <c r="G25">
        <f t="shared" ref="G25:K25" si="4">G33*G35</f>
        <v>3531.3514338177761</v>
      </c>
      <c r="H25">
        <f t="shared" si="4"/>
        <v>4115.5297575067134</v>
      </c>
      <c r="I25">
        <f t="shared" si="4"/>
        <v>4687.4763817634248</v>
      </c>
      <c r="J25">
        <f t="shared" si="4"/>
        <v>5242.5750443827874</v>
      </c>
      <c r="K25">
        <f t="shared" si="4"/>
        <v>5782.3142883856781</v>
      </c>
      <c r="N25">
        <f>E25/E25</f>
        <v>1</v>
      </c>
      <c r="O25">
        <f>F25/$E25</f>
        <v>1.1313899642093279</v>
      </c>
      <c r="P25">
        <f>G25/$E25</f>
        <v>1.355542605066056</v>
      </c>
      <c r="Q25">
        <f>H25/$E25</f>
        <v>1.5797849727706819</v>
      </c>
      <c r="R25">
        <f>I25/$E25</f>
        <v>1.7993320871074436</v>
      </c>
      <c r="S25">
        <f>J25/$E25</f>
        <v>2.0124119522236277</v>
      </c>
      <c r="T25">
        <f>K25/$E25</f>
        <v>2.2195959594185952</v>
      </c>
    </row>
    <row r="26" spans="2:20" x14ac:dyDescent="0.2">
      <c r="B26" t="s">
        <v>26</v>
      </c>
      <c r="C26" t="s">
        <v>28</v>
      </c>
      <c r="D26" t="s">
        <v>25</v>
      </c>
      <c r="E26">
        <v>2861.5612011470998</v>
      </c>
      <c r="F26">
        <f>F33*F36</f>
        <v>3318.1076531301678</v>
      </c>
      <c r="G26">
        <f t="shared" ref="G26:K26" si="5">G33*G36</f>
        <v>4142.2574692157614</v>
      </c>
      <c r="H26">
        <f t="shared" si="5"/>
        <v>5029.9962755546021</v>
      </c>
      <c r="I26">
        <f t="shared" si="5"/>
        <v>5969.346339495607</v>
      </c>
      <c r="J26">
        <f t="shared" si="5"/>
        <v>6956.2968729223376</v>
      </c>
      <c r="K26">
        <f t="shared" si="5"/>
        <v>7994.3086724659179</v>
      </c>
      <c r="N26">
        <f t="shared" ref="N26:N27" si="6">E26/E26</f>
        <v>1</v>
      </c>
      <c r="O26">
        <f>F26/$E26</f>
        <v>1.1595445352697871</v>
      </c>
      <c r="P26">
        <f>G26/$E26</f>
        <v>1.4475515909131265</v>
      </c>
      <c r="Q26">
        <f>H26/$E26</f>
        <v>1.7577804289274863</v>
      </c>
      <c r="R26">
        <f>I26/$E26</f>
        <v>2.0860453157887049</v>
      </c>
      <c r="S26">
        <f>J26/$E26</f>
        <v>2.4309446431317987</v>
      </c>
      <c r="T26">
        <f>K26/$E26</f>
        <v>2.7936878195235799</v>
      </c>
    </row>
    <row r="27" spans="2:20" x14ac:dyDescent="0.2">
      <c r="B27" t="s">
        <v>26</v>
      </c>
      <c r="C27" t="s">
        <v>13</v>
      </c>
      <c r="D27" t="s">
        <v>25</v>
      </c>
      <c r="E27">
        <v>7676.2275585426005</v>
      </c>
      <c r="F27">
        <f>F33*F37</f>
        <v>10981.845367938809</v>
      </c>
      <c r="G27">
        <f t="shared" ref="G27:K27" si="7">G33*G37</f>
        <v>19455.852253151803</v>
      </c>
      <c r="H27">
        <f t="shared" si="7"/>
        <v>33528.116062179717</v>
      </c>
      <c r="I27">
        <f t="shared" si="7"/>
        <v>56467.242854129028</v>
      </c>
      <c r="J27">
        <f t="shared" si="7"/>
        <v>93384.808269005094</v>
      </c>
      <c r="K27">
        <f t="shared" si="7"/>
        <v>152302.6129454516</v>
      </c>
      <c r="N27">
        <f t="shared" si="6"/>
        <v>1</v>
      </c>
      <c r="O27">
        <f>F27/$E27</f>
        <v>1.4306305127337586</v>
      </c>
      <c r="P27">
        <f>G27/$E27</f>
        <v>2.5345590792836878</v>
      </c>
      <c r="Q27">
        <f>H27/$E27</f>
        <v>4.3677855830195487</v>
      </c>
      <c r="R27">
        <f>I27/$E27</f>
        <v>7.356118929966927</v>
      </c>
      <c r="S27">
        <f>J27/$E27</f>
        <v>12.165455955651089</v>
      </c>
      <c r="T27">
        <f>K27/$E27</f>
        <v>19.840815268166384</v>
      </c>
    </row>
    <row r="32" spans="2:20" x14ac:dyDescent="0.2">
      <c r="N32" t="s">
        <v>29</v>
      </c>
    </row>
    <row r="33" spans="3:14" x14ac:dyDescent="0.2">
      <c r="C33" t="s">
        <v>32</v>
      </c>
      <c r="D33" t="s">
        <v>30</v>
      </c>
      <c r="E33">
        <f>E25+E26+E27</f>
        <v>13142.908968099302</v>
      </c>
      <c r="F33">
        <f>$E33*(1+$N33)^(F22-$E22)</f>
        <v>17247.359880422511</v>
      </c>
      <c r="G33">
        <f>$E33*(1+$N33)^(G22-$E22)</f>
        <v>27129.461156185345</v>
      </c>
      <c r="H33">
        <f>$E33*(1+$N33)^(H22-$E22)</f>
        <v>42673.642095241041</v>
      </c>
      <c r="I33">
        <f>$E33*(1+$N33)^(I22-$E22)</f>
        <v>67124.065575388056</v>
      </c>
      <c r="J33">
        <f>$E33*(1+$N33)^(J22-$E22)</f>
        <v>105583.68018631023</v>
      </c>
      <c r="K33">
        <f>$E33*(1+$N33)^(K22-$E22)</f>
        <v>166079.23590630319</v>
      </c>
      <c r="N33">
        <v>9.4822485813413682E-2</v>
      </c>
    </row>
    <row r="35" spans="3:14" x14ac:dyDescent="0.2">
      <c r="C35" t="s">
        <v>31</v>
      </c>
      <c r="D35" t="s">
        <v>27</v>
      </c>
      <c r="E35">
        <v>0.19822057738765797</v>
      </c>
      <c r="F35">
        <v>0.17089032059330644</v>
      </c>
      <c r="G35">
        <v>0.13016666322591705</v>
      </c>
      <c r="H35">
        <v>9.6441961722448732E-2</v>
      </c>
      <c r="I35">
        <v>6.9833022502173214E-2</v>
      </c>
      <c r="J35">
        <v>4.9653270610873525E-2</v>
      </c>
      <c r="K35">
        <v>3.4816599780407721E-2</v>
      </c>
    </row>
    <row r="36" spans="3:14" x14ac:dyDescent="0.2">
      <c r="C36" t="s">
        <v>31</v>
      </c>
      <c r="D36" t="s">
        <v>28</v>
      </c>
      <c r="E36">
        <v>0.21771665775440627</v>
      </c>
      <c r="F36">
        <v>0.19238351122345129</v>
      </c>
      <c r="G36">
        <v>0.15268484122735157</v>
      </c>
      <c r="H36">
        <v>0.11787126733472666</v>
      </c>
      <c r="I36">
        <v>8.8930047492301309E-2</v>
      </c>
      <c r="J36">
        <v>6.5884205406057411E-2</v>
      </c>
      <c r="K36">
        <v>4.8135509709209295E-2</v>
      </c>
    </row>
    <row r="37" spans="3:14" x14ac:dyDescent="0.2">
      <c r="C37" t="s">
        <v>31</v>
      </c>
      <c r="D37" t="s">
        <v>13</v>
      </c>
      <c r="E37">
        <v>0.58406276485793585</v>
      </c>
      <c r="F37">
        <v>0.63672616818324224</v>
      </c>
      <c r="G37">
        <v>0.71714849554673121</v>
      </c>
      <c r="H37">
        <v>0.78568677094282446</v>
      </c>
      <c r="I37">
        <v>0.84123693000552557</v>
      </c>
      <c r="J37">
        <v>0.88446252398306902</v>
      </c>
      <c r="K37">
        <v>0.91704789051038305</v>
      </c>
    </row>
    <row r="40" spans="3:14" x14ac:dyDescent="0.2">
      <c r="C40" t="s">
        <v>14</v>
      </c>
      <c r="E40">
        <f>E33/E33</f>
        <v>1</v>
      </c>
      <c r="F40">
        <f>F33/$E33</f>
        <v>1.3122939466662673</v>
      </c>
      <c r="G40">
        <f t="shared" ref="G40:K40" si="8">G33/$E33</f>
        <v>2.0641899918834139</v>
      </c>
      <c r="H40">
        <f t="shared" si="8"/>
        <v>3.2468947474884935</v>
      </c>
      <c r="I40">
        <f t="shared" si="8"/>
        <v>5.1072457199781844</v>
      </c>
      <c r="J40">
        <f t="shared" si="8"/>
        <v>8.0335092058070838</v>
      </c>
      <c r="K40">
        <f t="shared" si="8"/>
        <v>12.636413773344517</v>
      </c>
    </row>
    <row r="41" spans="3:14" x14ac:dyDescent="0.2">
      <c r="C41" t="s">
        <v>15</v>
      </c>
      <c r="E41">
        <f>E26/$E26</f>
        <v>1</v>
      </c>
      <c r="F41">
        <f>F26/$E26</f>
        <v>1.1595445352697871</v>
      </c>
      <c r="G41">
        <f t="shared" ref="G41:K42" si="9">G26/$E26</f>
        <v>1.4475515909131265</v>
      </c>
      <c r="H41">
        <f t="shared" si="9"/>
        <v>1.7577804289274863</v>
      </c>
      <c r="I41">
        <f t="shared" si="9"/>
        <v>2.0860453157887049</v>
      </c>
      <c r="J41">
        <f t="shared" si="9"/>
        <v>2.4309446431317987</v>
      </c>
      <c r="K41">
        <f t="shared" si="9"/>
        <v>2.7936878195235799</v>
      </c>
    </row>
    <row r="42" spans="3:14" x14ac:dyDescent="0.2">
      <c r="C42" t="s">
        <v>16</v>
      </c>
      <c r="E42">
        <f>E27/$E27</f>
        <v>1</v>
      </c>
      <c r="F42">
        <f>F27/$E27</f>
        <v>1.4306305127337586</v>
      </c>
      <c r="G42">
        <f t="shared" si="9"/>
        <v>2.5345590792836878</v>
      </c>
      <c r="H42">
        <f t="shared" si="9"/>
        <v>4.3677855830195487</v>
      </c>
      <c r="I42">
        <f t="shared" si="9"/>
        <v>7.356118929966927</v>
      </c>
      <c r="J42">
        <f t="shared" si="9"/>
        <v>12.165455955651089</v>
      </c>
      <c r="K42">
        <f t="shared" si="9"/>
        <v>19.840815268166384</v>
      </c>
    </row>
  </sheetData>
  <pageMargins left="0.75" right="0.75" top="1" bottom="1" header="0.5" footer="0.5"/>
  <pageSetup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</vt:lpstr>
    </vt:vector>
  </TitlesOfParts>
  <Company>NMBU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2026-01-02T11:42:56Z</dcterms:created>
  <dcterms:modified xsi:type="dcterms:W3CDTF">2026-01-02T16:22:14Z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2026-01-02T11:43:17Z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897fea44-54a9-458c-b4a9-33f9f75572b8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