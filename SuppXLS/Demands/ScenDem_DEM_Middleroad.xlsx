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memellak\OneDrive - Norwegian University of Life Sciences\PhD Renewable Energy\Paper 4\Demand Projection\"/>
    </mc:Choice>
  </mc:AlternateContent>
  <xr:revisionPtr revIDLastSave="0" documentId="13_ncr:1_{637FBAD4-2345-4BAD-926D-5B07752833CB}" xr6:coauthVersionLast="47" xr6:coauthVersionMax="47" xr10:uidLastSave="{00000000-0000-0000-0000-000000000000}"/>
  <bookViews>
    <workbookView xWindow="-120" yWindow="-120" windowWidth="29040" windowHeight="15720" xr2:uid="{160EB8D6-37B5-4ECA-BC09-5923A721DAB9}"/>
  </bookViews>
  <sheets>
    <sheet name="Driver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42" i="1" l="1"/>
  <c r="D8" i="1" s="1"/>
  <c r="E43" i="1"/>
  <c r="D9" i="1" s="1"/>
  <c r="E41" i="1"/>
  <c r="D7" i="1" s="1"/>
  <c r="C42" i="1"/>
  <c r="C43" i="1"/>
  <c r="C41" i="1"/>
  <c r="E33" i="1"/>
  <c r="G33" i="1" l="1"/>
  <c r="F33" i="1"/>
  <c r="F26" i="1" l="1"/>
  <c r="F42" i="1" s="1"/>
  <c r="E8" i="1" s="1"/>
  <c r="F27" i="1"/>
  <c r="F43" i="1" s="1"/>
  <c r="E9" i="1" s="1"/>
  <c r="F25" i="1"/>
  <c r="F41" i="1" s="1"/>
  <c r="E7" i="1" s="1"/>
  <c r="G27" i="1"/>
  <c r="G43" i="1" s="1"/>
  <c r="F9" i="1" s="1"/>
  <c r="K33" i="1"/>
  <c r="J33" i="1"/>
  <c r="G25" i="1"/>
  <c r="G41" i="1" s="1"/>
  <c r="F7" i="1" s="1"/>
  <c r="I33" i="1"/>
  <c r="H33" i="1"/>
  <c r="G26" i="1"/>
  <c r="G42" i="1" s="1"/>
  <c r="F8" i="1" s="1"/>
  <c r="H27" i="1" l="1"/>
  <c r="H43" i="1" s="1"/>
  <c r="G9" i="1" s="1"/>
  <c r="H25" i="1"/>
  <c r="H41" i="1" s="1"/>
  <c r="G7" i="1" s="1"/>
  <c r="H26" i="1"/>
  <c r="H42" i="1" s="1"/>
  <c r="G8" i="1" s="1"/>
  <c r="I25" i="1"/>
  <c r="I41" i="1" s="1"/>
  <c r="H7" i="1" s="1"/>
  <c r="I27" i="1"/>
  <c r="I43" i="1" s="1"/>
  <c r="H9" i="1" s="1"/>
  <c r="I26" i="1"/>
  <c r="I42" i="1" s="1"/>
  <c r="H8" i="1" s="1"/>
  <c r="J25" i="1"/>
  <c r="J41" i="1" s="1"/>
  <c r="I7" i="1" s="1"/>
  <c r="J27" i="1"/>
  <c r="J43" i="1" s="1"/>
  <c r="I9" i="1" s="1"/>
  <c r="J26" i="1"/>
  <c r="J42" i="1" s="1"/>
  <c r="I8" i="1" s="1"/>
  <c r="K26" i="1"/>
  <c r="K42" i="1" s="1"/>
  <c r="J8" i="1" s="1"/>
  <c r="K25" i="1"/>
  <c r="K41" i="1" s="1"/>
  <c r="J7" i="1" s="1"/>
  <c r="K27" i="1"/>
  <c r="K43" i="1" s="1"/>
  <c r="J9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</authors>
  <commentList>
    <comment ref="C3" authorId="0" shapeId="0" xr:uid="{362159CF-2334-4854-9B8A-46AD8BBFAAF6}">
      <text>
        <r>
          <rPr>
            <sz val="8"/>
            <color indexed="81"/>
            <rFont val="Tahoma"/>
            <family val="2"/>
          </rPr>
          <t xml:space="preserve">Scenario with which these drivers, series and allocations are to be associated. </t>
        </r>
        <r>
          <rPr>
            <sz val="8"/>
            <color indexed="81"/>
            <rFont val="Tahoma"/>
            <family val="2"/>
          </rPr>
          <t>Normally</t>
        </r>
        <r>
          <rPr>
            <sz val="8"/>
            <color indexed="81"/>
            <rFont val="Tahoma"/>
            <family val="2"/>
          </rPr>
          <t xml:space="preserve"> a set provided for BASE.</t>
        </r>
      </text>
    </comment>
    <comment ref="C5" authorId="0" shapeId="0" xr:uid="{00B2D5AC-C4D6-440F-8F7E-086A69E27FEB}">
      <text>
        <r>
          <rPr>
            <sz val="8"/>
            <color indexed="81"/>
            <rFont val="Tahoma"/>
            <family val="2"/>
          </rPr>
          <t>Driver timeseries by region.</t>
        </r>
      </text>
    </comment>
  </commentList>
</comments>
</file>

<file path=xl/sharedStrings.xml><?xml version="1.0" encoding="utf-8"?>
<sst xmlns="http://schemas.openxmlformats.org/spreadsheetml/2006/main" count="59" uniqueCount="35">
  <si>
    <t>* declare the demand drives and initial allocations</t>
  </si>
  <si>
    <t>~DRVR_Scenario: : DEM_Ref</t>
  </si>
  <si>
    <t>~DRVR_Table</t>
  </si>
  <si>
    <t>Region</t>
  </si>
  <si>
    <t>Driver</t>
  </si>
  <si>
    <t>\~2022</t>
  </si>
  <si>
    <t>\~2025</t>
  </si>
  <si>
    <t>\~2030</t>
  </si>
  <si>
    <t>\~2035</t>
  </si>
  <si>
    <t>\~2040</t>
  </si>
  <si>
    <t>\~2045</t>
  </si>
  <si>
    <t>\~2050</t>
  </si>
  <si>
    <t>ETH</t>
  </si>
  <si>
    <t>CEMENTHEAT</t>
  </si>
  <si>
    <t>MANHEATG_MVA_INDUCED</t>
  </si>
  <si>
    <t>MANELCG_INDUCED</t>
  </si>
  <si>
    <t>CEMENTHEAT_INDUCED</t>
  </si>
  <si>
    <t>Attribute</t>
  </si>
  <si>
    <t>CommName</t>
  </si>
  <si>
    <t>*Unit</t>
  </si>
  <si>
    <t>*</t>
  </si>
  <si>
    <t>Demand Commodity Name</t>
  </si>
  <si>
    <t>Demand Unit</t>
  </si>
  <si>
    <t>Demand Value</t>
  </si>
  <si>
    <t>*Units</t>
  </si>
  <si>
    <t>GWh</t>
  </si>
  <si>
    <t>Demand</t>
  </si>
  <si>
    <t>MANHEAT</t>
  </si>
  <si>
    <t>MANELC</t>
  </si>
  <si>
    <t>Ggrowth rate 2016-2023</t>
  </si>
  <si>
    <t>Total energy consumption</t>
  </si>
  <si>
    <t>Normalized share</t>
  </si>
  <si>
    <t>Ggrowth rate 2021-2030</t>
  </si>
  <si>
    <t>Ggrowth rate 2031-2050</t>
  </si>
  <si>
    <t>Ggrowth rate 2021-2023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</si>
</sst>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0"/>
      <name val="Arial"/>
    </font>
    <font>
      <sz val="12"/>
      <color indexed="53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10"/>
      <name val="Arial"/>
      <family val="2"/>
    </font>
    <font>
      <sz val="8"/>
      <color indexed="81"/>
      <name val="Tahoma"/>
      <family val="2"/>
    </font>
  </fonts>
  <fills count="3">
    <fill>
      <patternFill patternType="none"/>
    </fill>
    <fill>
      <patternFill patternType="gray125"/>
    </fill>
    <fill>
      <patternFill patternType="solid">
        <fgColor indexed="13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quotePrefix="1" applyFont="1" applyAlignment="1">
      <alignment horizontal="left"/>
    </xf>
    <xf numFmtId="0" fontId="2" fillId="2" borderId="0" xfId="0" applyFont="1" applyFill="1"/>
    <xf numFmtId="0" fontId="4" fillId="0" borderId="0" xfId="0" applyFont="1"/>
    <xf numFmtId="2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600074</xdr:colOff>
      <xdr:row>10</xdr:row>
      <xdr:rowOff>0</xdr:rowOff>
    </xdr:from>
    <xdr:to>
      <xdr:col>14</xdr:col>
      <xdr:colOff>581024</xdr:colOff>
      <xdr:row>17</xdr:row>
      <xdr:rowOff>66675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F2948FFF-158E-48C9-B803-AFC013AE63CD}"/>
            </a:ext>
          </a:extLst>
        </xdr:cNvPr>
        <xdr:cNvSpPr txBox="1"/>
      </xdr:nvSpPr>
      <xdr:spPr>
        <a:xfrm>
          <a:off x="838199" y="1647825"/>
          <a:ext cx="8220075" cy="120015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The dynamic of some drivers (such as Gross Domestic Product, Population, Sectoral Productivity  Agriculture, ..…) over the time horizon can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be defined in the ~DRVR_Table.</a:t>
          </a:r>
        </a:p>
        <a:p>
          <a:endParaRPr lang="en-GB" sz="110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It is possible to build multiple files called ScenDem_&lt;file name1&gt;, ScenDem_&lt;file name2&gt; with different drivers to generate for example a reference demand projection, a low or high demand projection and so on.</a:t>
          </a:r>
        </a:p>
        <a:p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947983-E6F1-4569-8577-20F46CF180DE}">
  <dimension ref="A1:AF43"/>
  <sheetViews>
    <sheetView tabSelected="1" workbookViewId="0">
      <selection activeCell="N6" sqref="N6"/>
    </sheetView>
  </sheetViews>
  <sheetFormatPr defaultRowHeight="12.75" x14ac:dyDescent="0.2"/>
  <cols>
    <col min="1" max="1" width="3.5703125" customWidth="1"/>
    <col min="3" max="3" width="26.28515625" bestFit="1" customWidth="1"/>
    <col min="4" max="4" width="22.7109375" bestFit="1" customWidth="1"/>
    <col min="13" max="13" width="21" bestFit="1" customWidth="1"/>
  </cols>
  <sheetData>
    <row r="1" spans="1:32" ht="15" x14ac:dyDescent="0.2">
      <c r="A1" s="1" t="s">
        <v>0</v>
      </c>
    </row>
    <row r="3" spans="1:32" x14ac:dyDescent="0.2">
      <c r="B3" s="2"/>
      <c r="C3" s="3" t="s">
        <v>1</v>
      </c>
    </row>
    <row r="4" spans="1:32" x14ac:dyDescent="0.2">
      <c r="B4" s="2"/>
      <c r="C4" s="2"/>
    </row>
    <row r="5" spans="1:32" x14ac:dyDescent="0.2">
      <c r="B5" s="2"/>
      <c r="C5" s="4" t="s">
        <v>2</v>
      </c>
    </row>
    <row r="6" spans="1:32" x14ac:dyDescent="0.2">
      <c r="B6" s="2" t="s">
        <v>3</v>
      </c>
      <c r="C6" s="2" t="s">
        <v>4</v>
      </c>
      <c r="D6" s="5" t="s">
        <v>5</v>
      </c>
      <c r="E6" s="5" t="s">
        <v>6</v>
      </c>
      <c r="F6" s="5" t="s">
        <v>7</v>
      </c>
      <c r="G6" s="5" t="s">
        <v>8</v>
      </c>
      <c r="H6" s="5" t="s">
        <v>9</v>
      </c>
      <c r="I6" s="5" t="s">
        <v>10</v>
      </c>
      <c r="J6" s="5" t="s">
        <v>11</v>
      </c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5"/>
    </row>
    <row r="7" spans="1:32" x14ac:dyDescent="0.2">
      <c r="B7" t="s">
        <v>12</v>
      </c>
      <c r="C7" t="s">
        <v>14</v>
      </c>
      <c r="D7" s="6">
        <f>E41</f>
        <v>1</v>
      </c>
      <c r="E7" s="6">
        <f t="shared" ref="E7:J7" si="0">F41</f>
        <v>1.624314673111277</v>
      </c>
      <c r="F7" s="6">
        <f t="shared" si="0"/>
        <v>3.6455774719521132</v>
      </c>
      <c r="G7" s="6">
        <f t="shared" si="0"/>
        <v>5.7343589455365613</v>
      </c>
      <c r="H7" s="6">
        <f t="shared" si="0"/>
        <v>9.0199351870164062</v>
      </c>
      <c r="I7" s="6">
        <f t="shared" si="0"/>
        <v>14.188025470798976</v>
      </c>
      <c r="J7" s="6">
        <f t="shared" si="0"/>
        <v>22.317240932041127</v>
      </c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  <c r="AA7" s="6"/>
      <c r="AB7" s="6"/>
      <c r="AC7" s="6"/>
      <c r="AD7" s="6"/>
      <c r="AE7" s="6"/>
      <c r="AF7" s="6"/>
    </row>
    <row r="8" spans="1:32" x14ac:dyDescent="0.2">
      <c r="B8" t="s">
        <v>12</v>
      </c>
      <c r="C8" t="s">
        <v>15</v>
      </c>
      <c r="D8" s="6">
        <f t="shared" ref="D8:J9" si="1">E42</f>
        <v>1</v>
      </c>
      <c r="E8" s="6">
        <f t="shared" si="1"/>
        <v>1.6241936880573145</v>
      </c>
      <c r="F8" s="6">
        <f t="shared" si="1"/>
        <v>3.6453059356577793</v>
      </c>
      <c r="G8" s="6">
        <f t="shared" si="1"/>
        <v>5.7339318289575196</v>
      </c>
      <c r="H8" s="6">
        <f t="shared" si="1"/>
        <v>9.0192633483859961</v>
      </c>
      <c r="I8" s="6">
        <f t="shared" si="1"/>
        <v>14.186968693405028</v>
      </c>
      <c r="J8" s="6">
        <f t="shared" si="1"/>
        <v>22.315578660165393</v>
      </c>
    </row>
    <row r="9" spans="1:32" x14ac:dyDescent="0.2">
      <c r="B9" t="s">
        <v>12</v>
      </c>
      <c r="C9" t="s">
        <v>16</v>
      </c>
      <c r="D9" s="6">
        <f t="shared" si="1"/>
        <v>1</v>
      </c>
      <c r="E9" s="6">
        <f t="shared" si="1"/>
        <v>1.6242799286229868</v>
      </c>
      <c r="F9" s="6">
        <f t="shared" si="1"/>
        <v>3.6454994921579993</v>
      </c>
      <c r="G9" s="6">
        <f t="shared" si="1"/>
        <v>5.7342362861956504</v>
      </c>
      <c r="H9" s="6">
        <f t="shared" si="1"/>
        <v>9.0197422483957865</v>
      </c>
      <c r="I9" s="6">
        <f t="shared" si="1"/>
        <v>14.187721985462675</v>
      </c>
      <c r="J9" s="6">
        <f t="shared" si="1"/>
        <v>22.316763560797078</v>
      </c>
    </row>
    <row r="22" spans="2:14" x14ac:dyDescent="0.2">
      <c r="B22" t="s">
        <v>17</v>
      </c>
      <c r="C22" t="s">
        <v>18</v>
      </c>
      <c r="D22" t="s">
        <v>19</v>
      </c>
      <c r="E22">
        <v>2022</v>
      </c>
      <c r="F22">
        <v>2025</v>
      </c>
      <c r="G22">
        <v>2030</v>
      </c>
      <c r="H22">
        <v>2035</v>
      </c>
      <c r="I22">
        <v>2040</v>
      </c>
      <c r="J22">
        <v>2045</v>
      </c>
      <c r="K22">
        <v>2050</v>
      </c>
    </row>
    <row r="23" spans="2:14" x14ac:dyDescent="0.2">
      <c r="B23" t="s">
        <v>20</v>
      </c>
      <c r="C23" t="s">
        <v>21</v>
      </c>
      <c r="D23" t="s">
        <v>22</v>
      </c>
      <c r="E23" t="s">
        <v>23</v>
      </c>
      <c r="F23" t="s">
        <v>23</v>
      </c>
      <c r="G23" t="s">
        <v>23</v>
      </c>
      <c r="H23" t="s">
        <v>23</v>
      </c>
      <c r="I23" t="s">
        <v>23</v>
      </c>
      <c r="J23" t="s">
        <v>23</v>
      </c>
      <c r="K23" t="s">
        <v>23</v>
      </c>
    </row>
    <row r="24" spans="2:14" x14ac:dyDescent="0.2">
      <c r="B24" t="s">
        <v>24</v>
      </c>
      <c r="E24" t="s">
        <v>25</v>
      </c>
      <c r="F24" t="s">
        <v>25</v>
      </c>
      <c r="G24" t="s">
        <v>25</v>
      </c>
      <c r="H24" t="s">
        <v>25</v>
      </c>
      <c r="I24" t="s">
        <v>25</v>
      </c>
      <c r="J24" t="s">
        <v>25</v>
      </c>
      <c r="K24" t="s">
        <v>25</v>
      </c>
    </row>
    <row r="25" spans="2:14" x14ac:dyDescent="0.2">
      <c r="B25" t="s">
        <v>26</v>
      </c>
      <c r="C25" t="s">
        <v>27</v>
      </c>
      <c r="D25" t="s">
        <v>25</v>
      </c>
      <c r="E25">
        <v>2605.1202084096003</v>
      </c>
      <c r="F25">
        <f>F33*F35</f>
        <v>4231.5349797384215</v>
      </c>
      <c r="G25">
        <f t="shared" ref="G25:K25" si="2">G33*G35</f>
        <v>9497.167543505233</v>
      </c>
      <c r="H25">
        <f t="shared" si="2"/>
        <v>14938.694371291662</v>
      </c>
      <c r="I25">
        <f t="shared" si="2"/>
        <v>23498.015434241268</v>
      </c>
      <c r="J25">
        <f t="shared" si="2"/>
        <v>36961.511871408547</v>
      </c>
      <c r="K25">
        <f t="shared" si="2"/>
        <v>58139.095348006245</v>
      </c>
    </row>
    <row r="26" spans="2:14" x14ac:dyDescent="0.2">
      <c r="B26" t="s">
        <v>26</v>
      </c>
      <c r="C26" t="s">
        <v>28</v>
      </c>
      <c r="D26" t="s">
        <v>25</v>
      </c>
      <c r="E26">
        <v>2861.5612011470998</v>
      </c>
      <c r="F26">
        <f>F33*F36</f>
        <v>4647.7296408928269</v>
      </c>
      <c r="G26">
        <f t="shared" ref="G26:K26" si="3">G33*G36</f>
        <v>10431.266031789528</v>
      </c>
      <c r="H26">
        <f t="shared" si="3"/>
        <v>16407.996851767268</v>
      </c>
      <c r="I26">
        <f t="shared" si="3"/>
        <v>25809.174060669444</v>
      </c>
      <c r="J26">
        <f t="shared" si="3"/>
        <v>40596.879174936395</v>
      </c>
      <c r="K26">
        <f t="shared" si="3"/>
        <v>63857.39407507547</v>
      </c>
    </row>
    <row r="27" spans="2:14" x14ac:dyDescent="0.2">
      <c r="B27" t="s">
        <v>26</v>
      </c>
      <c r="C27" t="s">
        <v>13</v>
      </c>
      <c r="D27" t="s">
        <v>25</v>
      </c>
      <c r="E27">
        <v>7676.2275585426005</v>
      </c>
      <c r="F27">
        <f>F33*F37</f>
        <v>12468.342350883378</v>
      </c>
      <c r="G27">
        <f t="shared" ref="G27:K27" si="4">G33*G37</f>
        <v>27983.68366635629</v>
      </c>
      <c r="H27">
        <f t="shared" si="4"/>
        <v>44017.302607290025</v>
      </c>
      <c r="I27">
        <f t="shared" si="4"/>
        <v>69237.594018086733</v>
      </c>
      <c r="J27">
        <f t="shared" si="4"/>
        <v>108908.18249774932</v>
      </c>
      <c r="K27">
        <f t="shared" si="4"/>
        <v>171308.55546286982</v>
      </c>
    </row>
    <row r="31" spans="2:14" x14ac:dyDescent="0.2">
      <c r="M31" t="s">
        <v>32</v>
      </c>
      <c r="N31" t="s">
        <v>33</v>
      </c>
    </row>
    <row r="32" spans="2:14" x14ac:dyDescent="0.2">
      <c r="M32" t="s">
        <v>29</v>
      </c>
      <c r="N32" t="s">
        <v>34</v>
      </c>
    </row>
    <row r="33" spans="3:14" x14ac:dyDescent="0.2">
      <c r="D33" t="s">
        <v>30</v>
      </c>
      <c r="E33">
        <f>E25+E26+E27</f>
        <v>13142.908968099302</v>
      </c>
      <c r="F33">
        <f t="shared" ref="F33:G33" si="5">$E33*(1+$M33)^(F22-$E22)</f>
        <v>21347.606971514626</v>
      </c>
      <c r="G33">
        <f t="shared" si="5"/>
        <v>47912.117241651045</v>
      </c>
      <c r="H33">
        <f>$G33*(1+$N33)^(H22-$G22)</f>
        <v>75363.993830348947</v>
      </c>
      <c r="I33">
        <f t="shared" ref="I33:K33" si="6">$G33*(1+$N33)^(I22-$G22)</f>
        <v>118544.78351299743</v>
      </c>
      <c r="J33">
        <f t="shared" si="6"/>
        <v>186466.57354409425</v>
      </c>
      <c r="K33">
        <f t="shared" si="6"/>
        <v>293305.0448859515</v>
      </c>
      <c r="M33">
        <v>0.17549079569250248</v>
      </c>
      <c r="N33">
        <v>9.4822485813413682E-2</v>
      </c>
    </row>
    <row r="35" spans="3:14" x14ac:dyDescent="0.2">
      <c r="C35" t="s">
        <v>31</v>
      </c>
      <c r="D35" t="s">
        <v>27</v>
      </c>
      <c r="E35">
        <v>0.19822057738765797</v>
      </c>
      <c r="F35">
        <v>0.19822057738765797</v>
      </c>
      <c r="G35">
        <v>0.19822057738765797</v>
      </c>
      <c r="H35">
        <v>0.19822057738765797</v>
      </c>
      <c r="I35">
        <v>0.19822057738765797</v>
      </c>
      <c r="J35">
        <v>0.19822057738765797</v>
      </c>
      <c r="K35">
        <v>0.19822057738765797</v>
      </c>
    </row>
    <row r="36" spans="3:14" x14ac:dyDescent="0.2">
      <c r="C36" t="s">
        <v>31</v>
      </c>
      <c r="D36" t="s">
        <v>28</v>
      </c>
      <c r="E36">
        <v>0.21771665775440627</v>
      </c>
      <c r="F36">
        <v>0.21771665775440627</v>
      </c>
      <c r="G36">
        <v>0.21771665775440627</v>
      </c>
      <c r="H36">
        <v>0.21771665775440627</v>
      </c>
      <c r="I36">
        <v>0.21771665775440627</v>
      </c>
      <c r="J36">
        <v>0.21771665775440627</v>
      </c>
      <c r="K36">
        <v>0.21771665775440627</v>
      </c>
    </row>
    <row r="37" spans="3:14" x14ac:dyDescent="0.2">
      <c r="C37" t="s">
        <v>31</v>
      </c>
      <c r="D37" t="s">
        <v>13</v>
      </c>
      <c r="E37">
        <v>0.58406276485793585</v>
      </c>
      <c r="F37">
        <v>0.58406276485793585</v>
      </c>
      <c r="G37">
        <v>0.58406276485793585</v>
      </c>
      <c r="H37">
        <v>0.58406276485793585</v>
      </c>
      <c r="I37">
        <v>0.58406276485793585</v>
      </c>
      <c r="J37">
        <v>0.58406276485793585</v>
      </c>
      <c r="K37">
        <v>0.58406276485793585</v>
      </c>
    </row>
    <row r="41" spans="3:14" x14ac:dyDescent="0.2">
      <c r="C41" t="str">
        <f>C7</f>
        <v>MANHEATG_MVA_INDUCED</v>
      </c>
      <c r="E41">
        <f>E25/$E25</f>
        <v>1</v>
      </c>
      <c r="F41">
        <f>F25/$E25</f>
        <v>1.624314673111277</v>
      </c>
      <c r="G41">
        <f t="shared" ref="G41:K41" si="7">G25/$E25</f>
        <v>3.6455774719521132</v>
      </c>
      <c r="H41">
        <f t="shared" si="7"/>
        <v>5.7343589455365613</v>
      </c>
      <c r="I41">
        <f t="shared" si="7"/>
        <v>9.0199351870164062</v>
      </c>
      <c r="J41">
        <f t="shared" si="7"/>
        <v>14.188025470798976</v>
      </c>
      <c r="K41">
        <f t="shared" si="7"/>
        <v>22.317240932041127</v>
      </c>
    </row>
    <row r="42" spans="3:14" x14ac:dyDescent="0.2">
      <c r="C42" t="str">
        <f t="shared" ref="C42:C43" si="8">C8</f>
        <v>MANELCG_INDUCED</v>
      </c>
      <c r="E42">
        <f t="shared" ref="E42:K43" si="9">E26/$E26</f>
        <v>1</v>
      </c>
      <c r="F42">
        <f t="shared" si="9"/>
        <v>1.6241936880573145</v>
      </c>
      <c r="G42">
        <f t="shared" si="9"/>
        <v>3.6453059356577793</v>
      </c>
      <c r="H42">
        <f t="shared" si="9"/>
        <v>5.7339318289575196</v>
      </c>
      <c r="I42">
        <f t="shared" si="9"/>
        <v>9.0192633483859961</v>
      </c>
      <c r="J42">
        <f t="shared" si="9"/>
        <v>14.186968693405028</v>
      </c>
      <c r="K42">
        <f t="shared" si="9"/>
        <v>22.315578660165393</v>
      </c>
    </row>
    <row r="43" spans="3:14" x14ac:dyDescent="0.2">
      <c r="C43" t="str">
        <f t="shared" si="8"/>
        <v>CEMENTHEAT_INDUCED</v>
      </c>
      <c r="E43">
        <f t="shared" si="9"/>
        <v>1</v>
      </c>
      <c r="F43">
        <f t="shared" si="9"/>
        <v>1.6242799286229868</v>
      </c>
      <c r="G43">
        <f t="shared" si="9"/>
        <v>3.6454994921579993</v>
      </c>
      <c r="H43">
        <f t="shared" si="9"/>
        <v>5.7342362861956504</v>
      </c>
      <c r="I43">
        <f t="shared" si="9"/>
        <v>9.0197422483957865</v>
      </c>
      <c r="J43">
        <f t="shared" si="9"/>
        <v>14.187721985462675</v>
      </c>
      <c r="K43">
        <f t="shared" si="9"/>
        <v>22.316763560797078</v>
      </c>
    </row>
  </sheetData>
  <pageMargins left="0.75" right="0.75" top="1" bottom="1" header="0.5" footer="0.5"/>
  <pageSetup orientation="portrait" r:id="rId1"/>
  <headerFooter alignWithMargins="0"/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Driver</vt:lpstr>
    </vt:vector>
  </TitlesOfParts>
  <Company>NMBU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Meselu Tegenie Mellaku</dc:creator>
  <cp:lastModifiedBy>Meselu Tegenie Mellaku</cp:lastModifiedBy>
  <dcterms:created xsi:type="dcterms:W3CDTF">2026-01-02T11:42:56Z</dcterms:created>
  <dcterms:modified xsi:type="dcterms:W3CDTF">2026-01-02T12:29:17Z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0484126-3486-41a9-802e-7f1e2277276c_Enabled">
    <vt:lpwstr>true</vt:lpwstr>
  </property>
  <property fmtid="{D5CDD505-2E9C-101B-9397-08002B2CF9AE}" pid="3" name="MSIP_Label_d0484126-3486-41a9-802e-7f1e2277276c_SetDate">
    <vt:lpwstr>2026-01-02T11:43:17Z</vt:lpwstr>
  </property>
  <property fmtid="{D5CDD505-2E9C-101B-9397-08002B2CF9AE}" pid="4" name="MSIP_Label_d0484126-3486-41a9-802e-7f1e2277276c_Method">
    <vt:lpwstr>Standard</vt:lpwstr>
  </property>
  <property fmtid="{D5CDD505-2E9C-101B-9397-08002B2CF9AE}" pid="5" name="MSIP_Label_d0484126-3486-41a9-802e-7f1e2277276c_Name">
    <vt:lpwstr>d0484126-3486-41a9-802e-7f1e2277276c</vt:lpwstr>
  </property>
  <property fmtid="{D5CDD505-2E9C-101B-9397-08002B2CF9AE}" pid="6" name="MSIP_Label_d0484126-3486-41a9-802e-7f1e2277276c_SiteId">
    <vt:lpwstr>eec01f8e-737f-43e3-9ed5-f8a59913bd82</vt:lpwstr>
  </property>
  <property fmtid="{D5CDD505-2E9C-101B-9397-08002B2CF9AE}" pid="7" name="MSIP_Label_d0484126-3486-41a9-802e-7f1e2277276c_ActionId">
    <vt:lpwstr>897fea44-54a9-458c-b4a9-33f9f75572b8</vt:lpwstr>
  </property>
  <property fmtid="{D5CDD505-2E9C-101B-9397-08002B2CF9AE}" pid="8" name="MSIP_Label_d0484126-3486-41a9-802e-7f1e2277276c_ContentBits">
    <vt:lpwstr>0</vt:lpwstr>
  </property>
  <property fmtid="{D5CDD505-2E9C-101B-9397-08002B2CF9AE}" pid="9" name="MSIP_Label_d0484126-3486-41a9-802e-7f1e2277276c_Tag">
    <vt:lpwstr>10, 3, 0, 1</vt:lpwstr>
  </property>
</Properties>
</file>