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DF0C1B9-9C6D-432F-A4A2-F0888A70EA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Y_Data" sheetId="6" r:id="rId1"/>
    <sheet name="MANENERGY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6" i="2"/>
  <c r="F13" i="2"/>
  <c r="F14" i="2"/>
  <c r="F15" i="2"/>
  <c r="F12" i="2"/>
  <c r="F11" i="2"/>
  <c r="F10" i="2"/>
  <c r="F7" i="2"/>
  <c r="F8" i="2"/>
  <c r="F9" i="2"/>
  <c r="F6" i="2"/>
  <c r="F20" i="2" l="1"/>
  <c r="F21" i="2"/>
  <c r="F18" i="2"/>
  <c r="F19" i="2"/>
  <c r="F5" i="2" l="1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<sst xmlns="http://schemas.openxmlformats.org/spreadsheetml/2006/main" count="67" uniqueCount="18">
  <si>
    <t>Year</t>
  </si>
  <si>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</si>
  <si>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</si>
  <si>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</si>
  <si>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</si>
  <si>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</si>
  <si>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</si>
  <si>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</si>
  <si>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</si>
  <si>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</si>
  <si>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</si>
  <si>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</si>
  <si>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</si>
  <si>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</si>
  <si>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</si>
  <si>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MANELC</t>
  </si>
  <si>
    <t>MANHEAT</t>
  </si>
  <si>
    <t>CEMENTHEAT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</si>
</sst>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  <xf numFmtId="0" fontId="2" fillId="0" borderId="0" xfId="5" applyFont="1"/>
    <xf numFmtId="0" fontId="11" fillId="0" borderId="0" xfId="0" applyFont="1"/>
    <xf numFmtId="0" fontId="12" fillId="0" borderId="0" xfId="5" applyFont="1"/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0F53A-5B57-4D5E-9D79-6D7C12BE0FD0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</xdr:row>
      <xdr:rowOff>276224</xdr:rowOff>
    </xdr:from>
    <xdr:to>
      <xdr:col>19</xdr:col>
      <xdr:colOff>114300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5BD66-AD36-4A97-8B61-C2F960A7A4D6}"/>
            </a:ext>
          </a:extLst>
        </xdr:cNvPr>
        <xdr:cNvSpPr txBox="1"/>
      </xdr:nvSpPr>
      <xdr:spPr>
        <a:xfrm>
          <a:off x="8982075" y="46672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workbookViewId="0">
      <selection activeCell="G27" sqref="G27"/>
    </sheetView>
  </sheetViews>
  <sheetFormatPr defaultRowHeight="14.4" x14ac:dyDescent="0.3"/>
  <cols>
    <col min="2" max="2" width="26.44140625" bestFit="1" customWidth="1"/>
    <col min="4" max="4" width="10.109375" bestFit="1" customWidth="1"/>
  </cols>
  <sheetData>
    <row r="2" spans="2:9" x14ac:dyDescent="0.3">
      <c r="B2" s="1" t="s">
        <v>9</v>
      </c>
      <c r="C2" s="6"/>
      <c r="D2" s="6"/>
      <c r="E2" s="6"/>
      <c r="F2" s="6"/>
      <c r="G2" s="6"/>
      <c r="H2" s="6"/>
    </row>
    <row r="3" spans="2:9" ht="15" thickBot="1" x14ac:dyDescent="0.35">
      <c r="B3" s="7" t="s">
        <v>10</v>
      </c>
      <c r="C3" s="7" t="s">
        <v>11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14</v>
      </c>
      <c r="I3" s="5" t="s">
        <v>1</v>
      </c>
    </row>
    <row r="4" spans="2:9" x14ac:dyDescent="0.3">
      <c r="B4" t="s">
        <v>12</v>
      </c>
      <c r="C4" s="10" t="s">
        <v>13</v>
      </c>
      <c r="F4" t="s">
        <v>7</v>
      </c>
      <c r="G4">
        <v>2022</v>
      </c>
      <c r="H4" s="11">
        <v>2861.5612011470998</v>
      </c>
      <c r="I4" t="s">
        <v>15</v>
      </c>
    </row>
    <row r="5" spans="2:9" x14ac:dyDescent="0.3">
      <c r="B5" t="s">
        <v>12</v>
      </c>
      <c r="C5" s="10" t="s">
        <v>13</v>
      </c>
      <c r="F5" t="s">
        <v>7</v>
      </c>
      <c r="G5">
        <v>2022</v>
      </c>
      <c r="H5">
        <v>2605.1202084096003</v>
      </c>
      <c r="I5" t="s">
        <v>16</v>
      </c>
    </row>
    <row r="6" spans="2:9" x14ac:dyDescent="0.3">
      <c r="B6" t="s">
        <v>12</v>
      </c>
      <c r="C6" s="10" t="s">
        <v>13</v>
      </c>
      <c r="F6" t="s">
        <v>7</v>
      </c>
      <c r="G6">
        <v>2022</v>
      </c>
      <c r="H6">
        <v>7676.2275585426005</v>
      </c>
      <c r="I6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J31" sqref="J31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0.6640625" customWidth="1"/>
    <col min="7" max="7" width="8.44140625" bestFit="1" customWidth="1"/>
    <col min="10" max="10" width="14.88671875" customWidth="1"/>
  </cols>
  <sheetData>
    <row r="1" spans="1:10" x14ac:dyDescent="0.3">
      <c r="A1" t="s">
        <v>6</v>
      </c>
    </row>
    <row r="2" spans="1:10" ht="21.6" x14ac:dyDescent="0.3">
      <c r="B2" s="1" t="s">
        <v>4</v>
      </c>
      <c r="G2" s="2"/>
      <c r="J2" s="13" t="s">
        <v>8</v>
      </c>
    </row>
    <row r="3" spans="1:10" ht="15" thickBot="1" x14ac:dyDescent="0.35">
      <c r="B3" s="3" t="s">
        <v>5</v>
      </c>
      <c r="C3" s="3" t="s">
        <v>3</v>
      </c>
      <c r="D3" s="3" t="s">
        <v>2</v>
      </c>
      <c r="E3" s="3" t="s">
        <v>0</v>
      </c>
      <c r="F3" s="4" t="s">
        <v>14</v>
      </c>
      <c r="G3" s="5" t="s">
        <v>1</v>
      </c>
      <c r="J3" s="8" t="s">
        <v>14</v>
      </c>
    </row>
    <row r="4" spans="1:10" x14ac:dyDescent="0.3">
      <c r="D4" t="s">
        <v>7</v>
      </c>
      <c r="E4">
        <v>2025</v>
      </c>
      <c r="F4" s="12">
        <f>BY_Data!$H$4*(1+$J$4)^(E4-2022)</f>
        <v>4647.9423996085043</v>
      </c>
      <c r="G4" s="14" t="s">
        <v>15</v>
      </c>
      <c r="J4">
        <v>0.17549079569250248</v>
      </c>
    </row>
    <row r="5" spans="1:10" x14ac:dyDescent="0.3">
      <c r="D5" t="s">
        <v>7</v>
      </c>
      <c r="E5">
        <v>2030</v>
      </c>
      <c r="F5" s="12">
        <f>BY_Data!$H$4*(1+$J$4)^(E5-2022)</f>
        <v>10431.743542947725</v>
      </c>
      <c r="G5" s="14" t="s">
        <v>15</v>
      </c>
      <c r="J5">
        <v>9.4822485813413682E-2</v>
      </c>
    </row>
    <row r="6" spans="1:10" x14ac:dyDescent="0.3">
      <c r="D6" t="s">
        <v>7</v>
      </c>
      <c r="E6">
        <v>2035</v>
      </c>
      <c r="F6" s="12">
        <f>F$5*(1+$J$5)^(E6-2030)</f>
        <v>16408.747959212567</v>
      </c>
      <c r="G6" s="14" t="s">
        <v>15</v>
      </c>
      <c r="J6" s="9"/>
    </row>
    <row r="7" spans="1:10" x14ac:dyDescent="0.3">
      <c r="D7" t="s">
        <v>7</v>
      </c>
      <c r="E7">
        <v>2040</v>
      </c>
      <c r="F7" s="12">
        <f t="shared" ref="F7:F9" si="0">F$5*(1+$J$5)^(E7-2030)</f>
        <v>25810.355524986455</v>
      </c>
      <c r="G7" s="14" t="s">
        <v>15</v>
      </c>
      <c r="J7" s="9"/>
    </row>
    <row r="8" spans="1:10" x14ac:dyDescent="0.3">
      <c r="D8" t="s">
        <v>7</v>
      </c>
      <c r="E8">
        <v>2045</v>
      </c>
      <c r="F8" s="12">
        <f t="shared" si="0"/>
        <v>40598.737574744715</v>
      </c>
      <c r="G8" s="14" t="s">
        <v>15</v>
      </c>
    </row>
    <row r="9" spans="1:10" s="15" customFormat="1" x14ac:dyDescent="0.3">
      <c r="D9" s="15" t="s">
        <v>7</v>
      </c>
      <c r="E9" s="15">
        <v>2050</v>
      </c>
      <c r="F9" s="12">
        <f t="shared" si="0"/>
        <v>63860.317269451996</v>
      </c>
      <c r="G9" s="16" t="s">
        <v>15</v>
      </c>
    </row>
    <row r="10" spans="1:10" x14ac:dyDescent="0.3">
      <c r="D10" t="s">
        <v>7</v>
      </c>
      <c r="E10">
        <v>2025</v>
      </c>
      <c r="F10" s="12">
        <f>BY_Data!H$5*(1+$J$4)^(E10-2022)</f>
        <v>4231.4134913102926</v>
      </c>
      <c r="G10" s="14" t="s">
        <v>16</v>
      </c>
    </row>
    <row r="11" spans="1:10" x14ac:dyDescent="0.3">
      <c r="D11" t="s">
        <v>7</v>
      </c>
      <c r="E11">
        <v>2030</v>
      </c>
      <c r="F11" s="12">
        <f>BY_Data!H$5*(1+$J$4)^(E11-2022)</f>
        <v>9496.8948774485743</v>
      </c>
      <c r="G11" s="14" t="s">
        <v>16</v>
      </c>
    </row>
    <row r="12" spans="1:10" x14ac:dyDescent="0.3">
      <c r="D12" t="s">
        <v>7</v>
      </c>
      <c r="E12">
        <v>2035</v>
      </c>
      <c r="F12" s="12">
        <f>F$11*(1+$J$5)^(E12-2030)</f>
        <v>14938.265477638141</v>
      </c>
      <c r="G12" s="14" t="s">
        <v>16</v>
      </c>
    </row>
    <row r="13" spans="1:10" x14ac:dyDescent="0.3">
      <c r="D13" t="s">
        <v>7</v>
      </c>
      <c r="E13">
        <v>2040</v>
      </c>
      <c r="F13" s="12">
        <f t="shared" ref="F13:F15" si="1">F$11*(1+$J$5)^(E13-2030)</f>
        <v>23497.340800338221</v>
      </c>
      <c r="G13" s="14" t="s">
        <v>16</v>
      </c>
    </row>
    <row r="14" spans="1:10" x14ac:dyDescent="0.3">
      <c r="D14" t="s">
        <v>7</v>
      </c>
      <c r="E14">
        <v>2045</v>
      </c>
      <c r="F14" s="12">
        <f t="shared" si="1"/>
        <v>36960.450697153814</v>
      </c>
      <c r="G14" s="14" t="s">
        <v>16</v>
      </c>
    </row>
    <row r="15" spans="1:10" x14ac:dyDescent="0.3">
      <c r="D15" t="s">
        <v>7</v>
      </c>
      <c r="E15">
        <v>2050</v>
      </c>
      <c r="F15" s="12">
        <f t="shared" si="1"/>
        <v>58137.426160030605</v>
      </c>
      <c r="G15" s="14" t="s">
        <v>16</v>
      </c>
    </row>
    <row r="16" spans="1:10" x14ac:dyDescent="0.3">
      <c r="D16" t="s">
        <v>7</v>
      </c>
      <c r="E16">
        <v>2025</v>
      </c>
      <c r="F16" s="12">
        <f>BY_Data!H$6*(1+$J$4)^(E16-2022)</f>
        <v>12468.251080595828</v>
      </c>
      <c r="G16" s="14" t="s">
        <v>17</v>
      </c>
    </row>
    <row r="17" spans="4:7" x14ac:dyDescent="0.3">
      <c r="D17" t="s">
        <v>7</v>
      </c>
      <c r="E17">
        <v>2030</v>
      </c>
      <c r="F17" s="12">
        <f>BY_Data!H$6*(1+$J$4)^(E17-2022)</f>
        <v>27983.478821254743</v>
      </c>
      <c r="G17" s="14" t="s">
        <v>17</v>
      </c>
    </row>
    <row r="18" spans="4:7" x14ac:dyDescent="0.3">
      <c r="D18" t="s">
        <v>7</v>
      </c>
      <c r="E18">
        <v>2035</v>
      </c>
      <c r="F18" s="12">
        <f>F$17*(1+$J$5)^(E18-2030)</f>
        <v>44016.980393498241</v>
      </c>
      <c r="G18" s="14" t="s">
        <v>17</v>
      </c>
    </row>
    <row r="19" spans="4:7" x14ac:dyDescent="0.3">
      <c r="D19" t="s">
        <v>7</v>
      </c>
      <c r="E19">
        <v>2040</v>
      </c>
      <c r="F19" s="12">
        <f t="shared" ref="F19:F21" si="2">F$17*(1+$J$5)^(E19-2030)</f>
        <v>69237.087187672747</v>
      </c>
      <c r="G19" s="14" t="s">
        <v>17</v>
      </c>
    </row>
    <row r="20" spans="4:7" x14ac:dyDescent="0.3">
      <c r="D20" t="s">
        <v>7</v>
      </c>
      <c r="E20">
        <v>2045</v>
      </c>
      <c r="F20" s="12">
        <f t="shared" si="2"/>
        <v>108907.38527219572</v>
      </c>
      <c r="G20" s="14" t="s">
        <v>17</v>
      </c>
    </row>
    <row r="21" spans="4:7" x14ac:dyDescent="0.3">
      <c r="D21" t="s">
        <v>7</v>
      </c>
      <c r="E21">
        <v>2050</v>
      </c>
      <c r="F21" s="12">
        <f t="shared" si="2"/>
        <v>171307.30145646885</v>
      </c>
      <c r="G21" s="14" t="s">
        <v>17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MANENERGY_Dem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2026-02-02T06:27:50Z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2026-01-05T16:08:29Z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335c9dec-2240-4cb8-ad23-874bf5a45f1f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