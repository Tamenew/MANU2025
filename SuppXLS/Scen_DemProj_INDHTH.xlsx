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253DCFB1-EFD1-4EB7-AE3E-5DDC364C3AB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BY_MANHEAT" sheetId="6" r:id="rId1"/>
    <sheet name="IND_MANHEAT" sheetId="2" r:id="rId2"/>
  </sheets>
  <externalReferences>
    <externalReference r:id="rId3"/>
  </externalReferenc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K4" i="2"/>
  <c r="F11" i="2"/>
  <c r="F12" i="2"/>
  <c r="F13" i="2"/>
  <c r="F14" i="2"/>
  <c r="F15" i="2"/>
  <c r="F10" i="2"/>
  <c r="I5" i="6"/>
  <c r="G10" i="2"/>
  <c r="E11" i="2"/>
  <c r="E12" i="2"/>
  <c r="E13" i="2"/>
  <c r="E14" i="2"/>
  <c r="E15" i="2"/>
  <c r="E10" i="2"/>
  <c r="J4" i="2"/>
  <c r="I4" i="6"/>
  <c r="J2" i="2"/>
  <c r="H4" i="6"/>
  <c r="F5" i="2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<sst xmlns="http://schemas.openxmlformats.org/spreadsheetml/2006/main" count="50" uniqueCount="18">
  <si>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</si>
  <si>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</si>
  <si>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</si>
  <si>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</si>
  <si>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</si>
  <si>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</si>
  <si>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</si>
  <si>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</si>
  <si>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Operation_Sum_Avg_Count</t>
  </si>
  <si>
    <t>Scenario Name</t>
  </si>
  <si>
    <t>A</t>
  </si>
  <si>
    <t>BASE</t>
  </si>
  <si>
    <t>ETH</t>
  </si>
  <si>
    <t>MANHEAT</t>
  </si>
  <si>
    <t>Year2</t>
  </si>
  <si>
    <t>Year</t>
  </si>
  <si>
    <t>~TFM_FILL</t>
  </si>
  <si>
    <t>MANHEATCOAL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</si>
</sst>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  <xf numFmtId="0" fontId="11" fillId="7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1" fontId="0" fillId="0" borderId="0" xfId="0" applyNumberFormat="1"/>
    <xf numFmtId="1" fontId="2" fillId="8" borderId="0" xfId="20" applyNumberFormat="1" applyFont="1" applyFill="1"/>
    <xf numFmtId="9" fontId="0" fillId="0" borderId="0" xfId="19" applyFont="1"/>
    <xf numFmtId="0" fontId="2" fillId="0" borderId="0" xfId="5" applyFont="1"/>
    <xf numFmtId="0" fontId="10" fillId="6" borderId="0" xfId="1" applyFont="1" applyFill="1" applyBorder="1" applyAlignment="1">
      <alignment horizontal="center" wrapText="1"/>
    </xf>
  </cellXfs>
  <cellStyles count="21">
    <cellStyle name="40% - Accent3" xfId="1" builtinId="39"/>
    <cellStyle name="Comma 2" xfId="2" xr:uid="{00000000-0005-0000-0000-000001000000}"/>
    <cellStyle name="Neutral" xfId="20" builtinId="28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 cent" xfId="19" builtinId="5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IND001\INDIND\VT_REG_PRI_V01.xlsx" TargetMode="External"/><Relationship Id="rId1" Type="http://schemas.openxmlformats.org/officeDocument/2006/relationships/externalLinkPath" Target="/Veda/IND001/INDIND/VT_REG_PRI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 history"/>
      <sheetName val="Enrgy growth"/>
      <sheetName val="TechnologydataTech"/>
      <sheetName val="EBF TJ"/>
      <sheetName val="EBF"/>
      <sheetName val="RES&amp;OBJ"/>
      <sheetName val="PRI_Sector_Fuels"/>
      <sheetName val="DemTechs_INDF"/>
      <sheetName val="Demands"/>
      <sheetName val="E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C9" t="str">
            <v>MANHEATOIL</v>
          </cell>
          <cell r="E9">
            <v>2084.0960000000005</v>
          </cell>
          <cell r="M9">
            <v>7.1715186504524242E-2</v>
          </cell>
        </row>
        <row r="11">
          <cell r="C11" t="str">
            <v>MANHEATCOAL</v>
          </cell>
          <cell r="E11">
            <v>4221.8336111111112</v>
          </cell>
          <cell r="M11">
            <v>6.1881419217466149E-2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tabSelected="1" workbookViewId="0">
      <selection activeCell="J14" sqref="J14"/>
    </sheetView>
  </sheetViews>
  <sheetFormatPr defaultRowHeight="15" x14ac:dyDescent="0.25"/>
  <cols>
    <col min="2" max="2" width="26.42578125" bestFit="1" customWidth="1"/>
    <col min="4" max="4" width="10.140625" bestFit="1" customWidth="1"/>
    <col min="8" max="8" width="5" bestFit="1" customWidth="1"/>
    <col min="9" max="9" width="14.85546875" bestFit="1" customWidth="1"/>
  </cols>
  <sheetData>
    <row r="2" spans="2:9" x14ac:dyDescent="0.25">
      <c r="B2" s="1" t="s">
        <v>16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8</v>
      </c>
      <c r="C3" s="7" t="s">
        <v>9</v>
      </c>
      <c r="D3" s="3" t="s">
        <v>4</v>
      </c>
      <c r="E3" s="3" t="s">
        <v>2</v>
      </c>
      <c r="F3" s="3" t="s">
        <v>1</v>
      </c>
      <c r="G3" s="3" t="s">
        <v>15</v>
      </c>
      <c r="H3" s="4" t="s">
        <v>12</v>
      </c>
      <c r="I3" s="5" t="s">
        <v>0</v>
      </c>
    </row>
    <row r="4" spans="2:9" x14ac:dyDescent="0.25">
      <c r="B4" t="s">
        <v>10</v>
      </c>
      <c r="C4" s="10" t="s">
        <v>11</v>
      </c>
      <c r="F4" t="s">
        <v>6</v>
      </c>
      <c r="G4">
        <v>2022</v>
      </c>
      <c r="H4" s="12">
        <f>[1]Demands!$E$9</f>
        <v>2084.0960000000005</v>
      </c>
      <c r="I4" t="str">
        <f>[1]Demands!$C$9</f>
        <v>MANHEATOIL</v>
      </c>
    </row>
    <row r="5" spans="2:9" x14ac:dyDescent="0.25">
      <c r="B5" t="s">
        <v>10</v>
      </c>
      <c r="C5" s="10" t="s">
        <v>11</v>
      </c>
      <c r="F5" t="s">
        <v>6</v>
      </c>
      <c r="G5">
        <v>2022</v>
      </c>
      <c r="H5" s="11">
        <f>[1]Demands!$E$11</f>
        <v>4221.8336111111112</v>
      </c>
      <c r="I5" t="str">
        <f>[1]Demands!$C$11</f>
        <v>MANHEATCOAL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F4" sqref="F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15.140625" bestFit="1" customWidth="1"/>
    <col min="10" max="10" width="14.85546875" customWidth="1"/>
  </cols>
  <sheetData>
    <row r="1" spans="1:11" ht="51.75" customHeight="1" x14ac:dyDescent="0.25">
      <c r="A1" t="s">
        <v>5</v>
      </c>
      <c r="J1" s="15" t="s">
        <v>7</v>
      </c>
      <c r="K1" s="15"/>
    </row>
    <row r="2" spans="1:11" x14ac:dyDescent="0.25">
      <c r="B2" s="1" t="s">
        <v>3</v>
      </c>
      <c r="G2" s="2"/>
      <c r="J2" t="str">
        <f>BY_MANHEAT!I4</f>
        <v>MANHEATOIL</v>
      </c>
      <c r="K2" t="s">
        <v>17</v>
      </c>
    </row>
    <row r="3" spans="1:11" ht="15.75" thickBot="1" x14ac:dyDescent="0.3">
      <c r="B3" s="3" t="s">
        <v>4</v>
      </c>
      <c r="C3" s="3" t="s">
        <v>2</v>
      </c>
      <c r="D3" s="3" t="s">
        <v>1</v>
      </c>
      <c r="E3" s="3" t="s">
        <v>14</v>
      </c>
      <c r="F3" s="4" t="s">
        <v>12</v>
      </c>
      <c r="G3" s="5" t="s">
        <v>0</v>
      </c>
      <c r="J3" s="8" t="s">
        <v>12</v>
      </c>
      <c r="K3" s="8" t="s">
        <v>12</v>
      </c>
    </row>
    <row r="4" spans="1:11" x14ac:dyDescent="0.25">
      <c r="D4" t="s">
        <v>6</v>
      </c>
      <c r="E4">
        <v>2025</v>
      </c>
      <c r="F4" s="11">
        <f>BY_MANHEAT!$H$4*(1+$J$4)^(E4-2022)</f>
        <v>2565.404631982668</v>
      </c>
      <c r="G4" s="6" t="s">
        <v>13</v>
      </c>
      <c r="J4" s="9">
        <f>[1]Demands!$M$9</f>
        <v>7.1715186504524242E-2</v>
      </c>
      <c r="K4" s="13">
        <f>[1]Demands!$M$11</f>
        <v>6.1881419217466149E-2</v>
      </c>
    </row>
    <row r="5" spans="1:11" x14ac:dyDescent="0.25">
      <c r="D5" t="s">
        <v>6</v>
      </c>
      <c r="E5">
        <v>2030</v>
      </c>
      <c r="F5" s="11">
        <f>BY_MANHEAT!$H$4*(1+$J$4)^(E5-2022)</f>
        <v>3627.0437880490886</v>
      </c>
      <c r="G5" s="6" t="s">
        <v>13</v>
      </c>
      <c r="J5" s="9"/>
    </row>
    <row r="6" spans="1:11" x14ac:dyDescent="0.25">
      <c r="D6" t="s">
        <v>6</v>
      </c>
      <c r="E6">
        <v>2035</v>
      </c>
      <c r="F6" s="11">
        <f>BY_MANHEAT!$H$4*(1+$J$4)^(E6-2022)</f>
        <v>5128.0201479399066</v>
      </c>
      <c r="G6" s="6" t="s">
        <v>13</v>
      </c>
      <c r="J6" s="9"/>
    </row>
    <row r="7" spans="1:11" x14ac:dyDescent="0.25">
      <c r="D7" t="s">
        <v>6</v>
      </c>
      <c r="E7">
        <v>2040</v>
      </c>
      <c r="F7" s="11">
        <f>BY_MANHEAT!$H$4*(1+$J$4)^(E7-2022)</f>
        <v>7250.1442426263075</v>
      </c>
      <c r="G7" s="6" t="s">
        <v>13</v>
      </c>
      <c r="J7" s="9"/>
    </row>
    <row r="8" spans="1:11" x14ac:dyDescent="0.25">
      <c r="D8" t="s">
        <v>6</v>
      </c>
      <c r="E8">
        <v>2045</v>
      </c>
      <c r="F8" s="11">
        <f>BY_MANHEAT!$H$4*(1+$J$4)^(E8-2022)</f>
        <v>10250.465096164708</v>
      </c>
      <c r="G8" s="6" t="s">
        <v>13</v>
      </c>
    </row>
    <row r="9" spans="1:11" x14ac:dyDescent="0.25">
      <c r="D9" t="s">
        <v>6</v>
      </c>
      <c r="E9">
        <v>2050</v>
      </c>
      <c r="F9" s="11">
        <f>BY_MANHEAT!$H$4*(1+$J$4)^(E9-2022)</f>
        <v>14492.40610551349</v>
      </c>
      <c r="G9" s="6" t="s">
        <v>13</v>
      </c>
    </row>
    <row r="10" spans="1:11" x14ac:dyDescent="0.25">
      <c r="D10" t="s">
        <v>6</v>
      </c>
      <c r="E10">
        <f>E4</f>
        <v>2025</v>
      </c>
      <c r="F10" s="11">
        <f>BY_MANHEAT!$H$5*(1+$K$4)^(E10-2022)</f>
        <v>5055.0933262855706</v>
      </c>
      <c r="G10" s="6" t="str">
        <f>BY_MANHEAT!I5</f>
        <v>MANHEATCOAL</v>
      </c>
    </row>
    <row r="11" spans="1:11" x14ac:dyDescent="0.25">
      <c r="D11" t="s">
        <v>6</v>
      </c>
      <c r="E11">
        <f t="shared" ref="E11:E15" si="0">E5</f>
        <v>2030</v>
      </c>
      <c r="F11" s="11">
        <f>BY_MANHEAT!$H$5*(1+$K$4)^(E11-2022)</f>
        <v>6825.1041939428851</v>
      </c>
      <c r="G11" s="14" t="s">
        <v>17</v>
      </c>
    </row>
    <row r="12" spans="1:11" x14ac:dyDescent="0.25">
      <c r="D12" t="s">
        <v>6</v>
      </c>
      <c r="E12">
        <f t="shared" si="0"/>
        <v>2035</v>
      </c>
      <c r="F12" s="11">
        <f>BY_MANHEAT!$H$5*(1+$K$4)^(E12-2022)</f>
        <v>9214.8738413905321</v>
      </c>
      <c r="G12" s="14" t="s">
        <v>17</v>
      </c>
    </row>
    <row r="13" spans="1:11" x14ac:dyDescent="0.25">
      <c r="D13" t="s">
        <v>6</v>
      </c>
      <c r="E13">
        <f t="shared" si="0"/>
        <v>2040</v>
      </c>
      <c r="F13" s="11">
        <f>BY_MANHEAT!$H$5*(1+$K$4)^(E13-2022)</f>
        <v>12441.407119923902</v>
      </c>
      <c r="G13" s="14" t="s">
        <v>17</v>
      </c>
    </row>
    <row r="14" spans="1:11" x14ac:dyDescent="0.25">
      <c r="D14" t="s">
        <v>6</v>
      </c>
      <c r="E14">
        <f t="shared" si="0"/>
        <v>2045</v>
      </c>
      <c r="F14" s="11">
        <f>BY_MANHEAT!$H$5*(1+$K$4)^(E14-2022)</f>
        <v>16797.691839081701</v>
      </c>
      <c r="G14" s="14" t="s">
        <v>17</v>
      </c>
    </row>
    <row r="15" spans="1:11" x14ac:dyDescent="0.25">
      <c r="D15" t="s">
        <v>6</v>
      </c>
      <c r="E15">
        <f t="shared" si="0"/>
        <v>2050</v>
      </c>
      <c r="F15" s="11">
        <f>BY_MANHEAT!$H$5*(1+$K$4)^(E15-2022)</f>
        <v>22679.303747635724</v>
      </c>
      <c r="G15" s="14" t="s">
        <v>17</v>
      </c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BY_MANHEAT</vt:lpstr>
      <vt:lpstr>IND_MANHEAT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2025-11-08T09:15:31Z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