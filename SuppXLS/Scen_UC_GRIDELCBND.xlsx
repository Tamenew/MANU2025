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3" documentId="13_ncr:1_{E6068216-2306-49EB-85AD-5F8291519EFD}" xr6:coauthVersionLast="47" xr6:coauthVersionMax="47" xr10:uidLastSave="{146A6CA9-C4D0-4B7A-94E5-ACB3D7C42F90}"/>
  <bookViews>
    <workbookView xWindow="-120" yWindow="-120" windowWidth="29040" windowHeight="15720" xr2:uid="{00000000-000D-0000-FFFF-FFFF00000000}"/>
  </bookViews>
  <sheets>
    <sheet name="UC_CO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<sst xmlns="http://schemas.openxmlformats.org/spreadsheetml/2006/main" count="32" uniqueCount="28">
  <si>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</si>
  <si>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</si>
  <si>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</si>
  <si>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</si>
  <si>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</si>
  <si>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</si>
  <si>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</si>
  <si>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</si>
  <si>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</si>
  <si>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</si>
  <si>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</si>
  <si>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</si>
  <si>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</si>
  <si>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</si>
  <si>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</si>
  <si>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</si>
  <si>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</si>
  <si>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</si>
  <si>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</si>
  <si>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</si>
  <si>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</si>
  <si>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Reference Scenario</t>
  </si>
  <si>
    <t>ETH</t>
  </si>
  <si>
    <t>Table Name: Manufacturing sector oil use</t>
  </si>
  <si>
    <t>Active Unit: GWh</t>
  </si>
  <si>
    <t>AU_ELCGRID_BND</t>
  </si>
  <si>
    <t>ELC</t>
  </si>
  <si>
    <t>Grid elctricity supply constriant  Bound Constraint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</si>
</sst>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2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>
      <selection activeCell="Q21" sqref="Q21"/>
    </sheetView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22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25</v>
      </c>
      <c r="G6" t="s">
        <v>26</v>
      </c>
      <c r="I6">
        <v>2030</v>
      </c>
      <c r="J6" t="s">
        <v>14</v>
      </c>
      <c r="K6">
        <v>1</v>
      </c>
      <c r="L6" s="8">
        <f>G24*(1-R6)</f>
        <v>5842.648000000001</v>
      </c>
      <c r="M6">
        <v>5</v>
      </c>
      <c r="N6" t="s">
        <v>27</v>
      </c>
      <c r="R6" s="11">
        <v>0.2</v>
      </c>
    </row>
    <row r="7" spans="1:18" x14ac:dyDescent="0.25">
      <c r="G7" t="s">
        <v>26</v>
      </c>
      <c r="I7">
        <v>2050</v>
      </c>
      <c r="J7" t="s">
        <v>14</v>
      </c>
      <c r="K7">
        <v>1</v>
      </c>
      <c r="L7" s="8">
        <f>K24*(1-R7)</f>
        <v>759.9799999999999</v>
      </c>
      <c r="R7" s="11">
        <v>0.9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23</v>
      </c>
    </row>
    <row r="22" spans="2:17" x14ac:dyDescent="0.25">
      <c r="B22" t="s">
        <v>24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21</v>
      </c>
      <c r="C24" t="s">
        <v>22</v>
      </c>
      <c r="D24" t="s">
        <v>26</v>
      </c>
      <c r="E24" s="8"/>
      <c r="F24" s="8"/>
      <c r="G24" s="8">
        <v>7303.31</v>
      </c>
      <c r="H24" s="8"/>
      <c r="I24" s="8"/>
      <c r="J24" s="8"/>
      <c r="K24" s="8">
        <v>7599.8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2025-12-22T10:13:27Z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