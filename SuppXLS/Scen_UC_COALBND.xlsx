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mellak\OneDrive - Norwegian University of Life Sciences\Documents\GitHub\MANU2025\SuppXLS\"/>
    </mc:Choice>
  </mc:AlternateContent>
  <xr:revisionPtr revIDLastSave="0" documentId="13_ncr:1_{6015F2BE-0620-4388-A9D8-BC99879F7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C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</calcChain>
</file>

<file path=xl/sharedStrings.xml><?xml version="1.0" encoding="utf-8"?>
<sst xmlns="http://schemas.openxmlformats.org/spreadsheetml/2006/main" count="32" uniqueCount="29">
  <si>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</si>
  <si>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</si>
  <si>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</si>
  <si>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</si>
  <si>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</si>
  <si>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</si>
  <si>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</si>
  <si>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</si>
  <si>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</si>
  <si>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</si>
  <si>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</si>
  <si>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</si>
  <si>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</si>
  <si>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Region</t>
  </si>
  <si>
    <t>UP</t>
  </si>
  <si>
    <t>UC_COMNET</t>
  </si>
  <si>
    <t>UC_RHSRTS~0</t>
  </si>
  <si>
    <t>~UC_T:UC_RHSRTS</t>
  </si>
  <si>
    <t>Scenario</t>
  </si>
  <si>
    <t>CommodityDesc\Period</t>
  </si>
  <si>
    <t>Reduction Coeff</t>
  </si>
  <si>
    <t>Reference Scenario</t>
  </si>
  <si>
    <t>ETH</t>
  </si>
  <si>
    <t>Table Name: Manufacturing sector oil use</t>
  </si>
  <si>
    <t>Active Unit: GWh</t>
  </si>
  <si>
    <t>Manufacturing coal bound Constraint</t>
  </si>
  <si>
    <t>AU_Coal_BND</t>
  </si>
  <si>
    <t>MINCOA,IMPCOA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</si>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</sst>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4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1" fontId="7" fillId="0" borderId="0" xfId="0" applyNumberFormat="1" applyFont="1"/>
    <xf numFmtId="0" fontId="8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13</xdr:row>
      <xdr:rowOff>19916</xdr:rowOff>
    </xdr:from>
    <xdr:to>
      <xdr:col>9</xdr:col>
      <xdr:colOff>1085851</xdr:colOff>
      <xdr:row>17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6994A-0F9E-49BB-8671-C874B42A7D12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M14" sqref="M14"/>
    </sheetView>
  </sheetViews>
  <sheetFormatPr defaultRowHeight="15" x14ac:dyDescent="0.25"/>
  <cols>
    <col min="2" max="2" width="38.5703125" bestFit="1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17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15</v>
      </c>
      <c r="L5" s="9" t="s">
        <v>22</v>
      </c>
      <c r="M5" s="7" t="s">
        <v>16</v>
      </c>
      <c r="N5" s="4" t="s">
        <v>11</v>
      </c>
      <c r="R5" s="10" t="s">
        <v>20</v>
      </c>
    </row>
    <row r="6" spans="1:18" x14ac:dyDescent="0.25">
      <c r="B6" t="s">
        <v>26</v>
      </c>
      <c r="G6" t="s">
        <v>27</v>
      </c>
      <c r="I6">
        <v>2030</v>
      </c>
      <c r="J6" t="s">
        <v>14</v>
      </c>
      <c r="K6">
        <v>1</v>
      </c>
      <c r="L6" s="8">
        <f>G24*(1-R6)</f>
        <v>19228.702163161739</v>
      </c>
      <c r="M6">
        <v>5</v>
      </c>
      <c r="N6" t="s">
        <v>25</v>
      </c>
      <c r="R6" s="11">
        <v>0.1</v>
      </c>
    </row>
    <row r="7" spans="1:18" x14ac:dyDescent="0.25">
      <c r="G7" t="s">
        <v>27</v>
      </c>
      <c r="I7">
        <v>2050</v>
      </c>
      <c r="J7" t="s">
        <v>14</v>
      </c>
      <c r="K7">
        <v>1</v>
      </c>
      <c r="L7" s="8">
        <f>K24*(1-R7)</f>
        <v>8568777.7040000018</v>
      </c>
      <c r="R7" s="11">
        <v>0.2</v>
      </c>
    </row>
    <row r="8" spans="1:18" x14ac:dyDescent="0.25">
      <c r="L8" s="8"/>
      <c r="R8" s="11"/>
    </row>
    <row r="9" spans="1:18" x14ac:dyDescent="0.25">
      <c r="L9" s="8"/>
      <c r="R9" s="11"/>
    </row>
    <row r="10" spans="1:18" x14ac:dyDescent="0.25">
      <c r="L10" s="8"/>
      <c r="R10" s="11"/>
    </row>
    <row r="11" spans="1:18" x14ac:dyDescent="0.25">
      <c r="L11" s="8"/>
      <c r="R11" s="11"/>
    </row>
    <row r="12" spans="1:18" x14ac:dyDescent="0.25">
      <c r="R12" s="11"/>
    </row>
    <row r="21" spans="2:17" x14ac:dyDescent="0.25">
      <c r="B21" t="s">
        <v>23</v>
      </c>
    </row>
    <row r="22" spans="2:17" x14ac:dyDescent="0.25">
      <c r="B22" t="s">
        <v>24</v>
      </c>
    </row>
    <row r="23" spans="2:17" x14ac:dyDescent="0.25">
      <c r="B23" t="s">
        <v>18</v>
      </c>
      <c r="C23" t="s">
        <v>13</v>
      </c>
      <c r="D23" t="s">
        <v>19</v>
      </c>
      <c r="E23">
        <v>2022</v>
      </c>
      <c r="F23">
        <v>2025</v>
      </c>
      <c r="G23">
        <v>2030</v>
      </c>
      <c r="H23">
        <v>2035</v>
      </c>
      <c r="I23">
        <v>2040</v>
      </c>
      <c r="J23">
        <v>2045</v>
      </c>
      <c r="K23" s="8">
        <v>2050</v>
      </c>
      <c r="L23" s="8"/>
      <c r="M23" s="8"/>
      <c r="N23" s="8"/>
      <c r="O23" s="8"/>
      <c r="P23" s="8"/>
      <c r="Q23" s="8"/>
    </row>
    <row r="24" spans="2:17" x14ac:dyDescent="0.25">
      <c r="B24" t="s">
        <v>21</v>
      </c>
      <c r="C24" t="s">
        <v>22</v>
      </c>
      <c r="D24" t="s">
        <v>28</v>
      </c>
      <c r="E24" s="8"/>
      <c r="F24" s="8"/>
      <c r="G24" s="12">
        <v>21365.224625735264</v>
      </c>
      <c r="H24" s="8"/>
      <c r="I24" s="8"/>
      <c r="J24" s="8"/>
      <c r="K24" s="13">
        <v>10710972.130000001</v>
      </c>
      <c r="L24" s="8"/>
      <c r="M24" s="8"/>
      <c r="N24" s="8"/>
      <c r="O24" s="8"/>
      <c r="P24" s="8"/>
      <c r="Q24" s="8"/>
    </row>
    <row r="25" spans="2:17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E28" s="8"/>
      <c r="F28" s="8"/>
      <c r="G28" s="8"/>
      <c r="H28" s="8"/>
      <c r="I28" s="8"/>
      <c r="J28" s="8"/>
    </row>
    <row r="30" spans="2:17" x14ac:dyDescent="0.25">
      <c r="E30" s="8"/>
      <c r="F30" s="8"/>
      <c r="G30" s="8"/>
      <c r="H30" s="8"/>
      <c r="I30" s="8"/>
      <c r="O30" s="8"/>
    </row>
    <row r="31" spans="2:17" x14ac:dyDescent="0.25">
      <c r="E31" s="8"/>
      <c r="F31" s="8"/>
      <c r="G31" s="8"/>
      <c r="H31" s="8"/>
      <c r="I31" s="8"/>
      <c r="O31" s="8"/>
    </row>
    <row r="32" spans="2:17" x14ac:dyDescent="0.25">
      <c r="G32" s="8"/>
      <c r="O32" s="8"/>
    </row>
    <row r="33" spans="7:7" x14ac:dyDescent="0.25">
      <c r="G33" s="8"/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UC_COAL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2025-12-22T16:44:14Z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