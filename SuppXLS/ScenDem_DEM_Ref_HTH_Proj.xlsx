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mellak\OneDrive - Norwegian University of Life Sciences\Documents\GitHub\MANU2025\SuppXLS\"/>
    </mc:Choice>
  </mc:AlternateContent>
  <xr:revisionPtr revIDLastSave="0" documentId="13_ncr:1_{75B23BF3-7B40-4CC1-903A-9A8AC939E95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Y_MANHEAT" sheetId="6" r:id="rId1"/>
    <sheet name="IND_MANHE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2" i="2"/>
  <c r="F13" i="2"/>
  <c r="F14" i="2"/>
  <c r="F15" i="2"/>
  <c r="F10" i="2"/>
  <c r="F5" i="2"/>
  <c r="F6" i="2"/>
  <c r="F7" i="2"/>
  <c r="F8" i="2"/>
  <c r="F9" i="2"/>
  <c r="F4" i="2"/>
  <c r="G10" i="2"/>
  <c r="E11" i="2"/>
  <c r="E12" i="2"/>
  <c r="E13" i="2"/>
  <c r="E14" i="2"/>
  <c r="E15" i="2"/>
  <c r="E10" i="2"/>
  <c r="J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<sst xmlns="http://schemas.openxmlformats.org/spreadsheetml/2006/main" count="52" uniqueCount="19">
  <si>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</si>
  <si>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</si>
  <si>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</si>
  <si>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</si>
  <si>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</si>
  <si>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</si>
  <si>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</si>
  <si>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</si>
  <si>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Operation_Sum_Avg_Count</t>
  </si>
  <si>
    <t>Scenario Name</t>
  </si>
  <si>
    <t>A</t>
  </si>
  <si>
    <t>BASE</t>
  </si>
  <si>
    <t>ETH</t>
  </si>
  <si>
    <t>MANHEAT</t>
  </si>
  <si>
    <t>Year2</t>
  </si>
  <si>
    <t>Year</t>
  </si>
  <si>
    <t>~TFM_FILL</t>
  </si>
  <si>
    <t>MANHEATCOAL</t>
  </si>
  <si>
    <t>MANHEATOIL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</si>
</sst>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  <xf numFmtId="0" fontId="11" fillId="7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0" fontId="9" fillId="0" borderId="0" xfId="0" applyFont="1"/>
    <xf numFmtId="1" fontId="0" fillId="0" borderId="0" xfId="0" applyNumberFormat="1"/>
    <xf numFmtId="1" fontId="2" fillId="8" borderId="0" xfId="20" applyNumberFormat="1" applyFont="1" applyFill="1"/>
    <xf numFmtId="9" fontId="0" fillId="0" borderId="0" xfId="19" applyFont="1"/>
    <xf numFmtId="0" fontId="2" fillId="0" borderId="0" xfId="5" applyFont="1"/>
    <xf numFmtId="0" fontId="10" fillId="6" borderId="0" xfId="1" applyFont="1" applyFill="1" applyBorder="1" applyAlignment="1">
      <alignment horizontal="center" wrapText="1"/>
    </xf>
    <xf numFmtId="0" fontId="2" fillId="0" borderId="0" xfId="0" applyFont="1"/>
  </cellXfs>
  <cellStyles count="21">
    <cellStyle name="40% - Accent3" xfId="1" builtinId="39"/>
    <cellStyle name="Comma 2" xfId="2" xr:uid="{00000000-0005-0000-0000-000001000000}"/>
    <cellStyle name="Neutral" xfId="20" builtinId="28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" xfId="19" builtinId="5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6AB2E-8228-4439-882A-A3A0796CDBFD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66674</xdr:rowOff>
    </xdr:from>
    <xdr:to>
      <xdr:col>18</xdr:col>
      <xdr:colOff>200025</xdr:colOff>
      <xdr:row>3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A14A43-3B39-4460-B8FC-818767E65D62}"/>
            </a:ext>
          </a:extLst>
        </xdr:cNvPr>
        <xdr:cNvSpPr txBox="1"/>
      </xdr:nvSpPr>
      <xdr:spPr>
        <a:xfrm>
          <a:off x="8458200" y="25717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workbookViewId="0">
      <selection activeCell="I21" sqref="I21"/>
    </sheetView>
  </sheetViews>
  <sheetFormatPr defaultRowHeight="15" x14ac:dyDescent="0.25"/>
  <cols>
    <col min="2" max="2" width="26.42578125" bestFit="1" customWidth="1"/>
    <col min="4" max="4" width="10.140625" bestFit="1" customWidth="1"/>
    <col min="8" max="8" width="5" bestFit="1" customWidth="1"/>
    <col min="9" max="9" width="14.85546875" bestFit="1" customWidth="1"/>
  </cols>
  <sheetData>
    <row r="2" spans="2:9" x14ac:dyDescent="0.25">
      <c r="B2" s="1" t="s">
        <v>16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8</v>
      </c>
      <c r="C3" s="7" t="s">
        <v>9</v>
      </c>
      <c r="D3" s="3" t="s">
        <v>4</v>
      </c>
      <c r="E3" s="3" t="s">
        <v>2</v>
      </c>
      <c r="F3" s="3" t="s">
        <v>1</v>
      </c>
      <c r="G3" s="3" t="s">
        <v>15</v>
      </c>
      <c r="H3" s="4" t="s">
        <v>12</v>
      </c>
      <c r="I3" s="5" t="s">
        <v>0</v>
      </c>
    </row>
    <row r="4" spans="2:9" x14ac:dyDescent="0.25">
      <c r="B4" t="s">
        <v>10</v>
      </c>
      <c r="C4" s="9" t="s">
        <v>11</v>
      </c>
      <c r="F4" t="s">
        <v>6</v>
      </c>
      <c r="G4">
        <v>2022</v>
      </c>
      <c r="H4" s="11">
        <v>2605.1202084096003</v>
      </c>
      <c r="I4" t="s">
        <v>18</v>
      </c>
    </row>
    <row r="5" spans="2:9" x14ac:dyDescent="0.25">
      <c r="B5" t="s">
        <v>10</v>
      </c>
      <c r="C5" s="9" t="s">
        <v>11</v>
      </c>
      <c r="F5" t="s">
        <v>6</v>
      </c>
      <c r="G5">
        <v>2022</v>
      </c>
      <c r="H5" s="10">
        <v>7676.2275585426005</v>
      </c>
      <c r="I5" t="s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selection activeCell="H21" sqref="H21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4.140625" bestFit="1" customWidth="1"/>
    <col min="7" max="7" width="15.140625" bestFit="1" customWidth="1"/>
    <col min="10" max="10" width="14.85546875" customWidth="1"/>
  </cols>
  <sheetData>
    <row r="1" spans="1:11" ht="51.75" customHeight="1" x14ac:dyDescent="0.25">
      <c r="A1" t="s">
        <v>5</v>
      </c>
      <c r="J1" s="14" t="s">
        <v>7</v>
      </c>
      <c r="K1" s="14"/>
    </row>
    <row r="2" spans="1:11" x14ac:dyDescent="0.25">
      <c r="B2" s="1" t="s">
        <v>3</v>
      </c>
      <c r="G2" s="2"/>
      <c r="J2" t="str">
        <f>BY_MANHEAT!I4</f>
        <v>MANHEATOIL</v>
      </c>
      <c r="K2" t="s">
        <v>17</v>
      </c>
    </row>
    <row r="3" spans="1:11" ht="15.75" thickBot="1" x14ac:dyDescent="0.3">
      <c r="B3" s="3" t="s">
        <v>4</v>
      </c>
      <c r="C3" s="3" t="s">
        <v>2</v>
      </c>
      <c r="D3" s="3" t="s">
        <v>1</v>
      </c>
      <c r="E3" s="3" t="s">
        <v>14</v>
      </c>
      <c r="F3" s="4" t="s">
        <v>12</v>
      </c>
      <c r="G3" s="5" t="s">
        <v>0</v>
      </c>
      <c r="J3" s="8" t="s">
        <v>12</v>
      </c>
      <c r="K3" s="8" t="s">
        <v>12</v>
      </c>
    </row>
    <row r="4" spans="1:11" x14ac:dyDescent="0.25">
      <c r="D4" t="s">
        <v>6</v>
      </c>
      <c r="E4">
        <v>2025</v>
      </c>
      <c r="F4" s="10">
        <f>BY_MANHEAT!$H$4*(J4)</f>
        <v>2947.4068593535344</v>
      </c>
      <c r="G4" s="6" t="s">
        <v>13</v>
      </c>
      <c r="J4" s="15">
        <v>1.1313899642093279</v>
      </c>
      <c r="K4" s="12"/>
    </row>
    <row r="5" spans="1:11" x14ac:dyDescent="0.25">
      <c r="D5" t="s">
        <v>6</v>
      </c>
      <c r="E5">
        <v>2030</v>
      </c>
      <c r="F5" s="10">
        <f>BY_MANHEAT!$H$4*(J5)</f>
        <v>3531.3514338177761</v>
      </c>
      <c r="G5" s="6" t="s">
        <v>13</v>
      </c>
      <c r="J5" s="15">
        <v>1.355542605066056</v>
      </c>
    </row>
    <row r="6" spans="1:11" x14ac:dyDescent="0.25">
      <c r="D6" t="s">
        <v>6</v>
      </c>
      <c r="E6">
        <v>2035</v>
      </c>
      <c r="F6" s="10">
        <f>BY_MANHEAT!$H$4*(J6)</f>
        <v>4115.5297575067134</v>
      </c>
      <c r="G6" s="6" t="s">
        <v>13</v>
      </c>
      <c r="J6" s="15">
        <v>1.5797849727706819</v>
      </c>
    </row>
    <row r="7" spans="1:11" x14ac:dyDescent="0.25">
      <c r="D7" t="s">
        <v>6</v>
      </c>
      <c r="E7">
        <v>2040</v>
      </c>
      <c r="F7" s="10">
        <f>BY_MANHEAT!$H$4*(J7)</f>
        <v>4687.4763817634248</v>
      </c>
      <c r="G7" s="6" t="s">
        <v>13</v>
      </c>
      <c r="J7" s="15">
        <v>1.7993320871074436</v>
      </c>
    </row>
    <row r="8" spans="1:11" x14ac:dyDescent="0.25">
      <c r="D8" t="s">
        <v>6</v>
      </c>
      <c r="E8">
        <v>2045</v>
      </c>
      <c r="F8" s="10">
        <f>BY_MANHEAT!$H$4*(J8)</f>
        <v>5242.5750443827874</v>
      </c>
      <c r="G8" s="6" t="s">
        <v>13</v>
      </c>
      <c r="J8" s="15">
        <v>2.0124119522236277</v>
      </c>
    </row>
    <row r="9" spans="1:11" x14ac:dyDescent="0.25">
      <c r="D9" t="s">
        <v>6</v>
      </c>
      <c r="E9">
        <v>2050</v>
      </c>
      <c r="F9" s="10">
        <f>BY_MANHEAT!$H$4*(J9)</f>
        <v>5782.3142883856772</v>
      </c>
      <c r="G9" s="6" t="s">
        <v>13</v>
      </c>
      <c r="J9" s="15">
        <v>2.2195959594185952</v>
      </c>
    </row>
    <row r="10" spans="1:11" x14ac:dyDescent="0.25">
      <c r="D10" t="s">
        <v>6</v>
      </c>
      <c r="E10">
        <f>E4</f>
        <v>2025</v>
      </c>
      <c r="F10" s="10">
        <f>BY_MANHEAT!$H$5*(J10)</f>
        <v>10981.845367938809</v>
      </c>
      <c r="G10" s="6" t="str">
        <f>BY_MANHEAT!I5</f>
        <v>MANHEATCOAL</v>
      </c>
      <c r="J10" s="15">
        <v>1.4306305127337586</v>
      </c>
    </row>
    <row r="11" spans="1:11" x14ac:dyDescent="0.25">
      <c r="D11" t="s">
        <v>6</v>
      </c>
      <c r="E11">
        <f t="shared" ref="E11:E15" si="0">E5</f>
        <v>2030</v>
      </c>
      <c r="F11" s="10">
        <f>BY_MANHEAT!$H$5*(J11)</f>
        <v>19455.852253151803</v>
      </c>
      <c r="G11" s="13" t="s">
        <v>17</v>
      </c>
      <c r="J11">
        <v>2.5345590792836878</v>
      </c>
    </row>
    <row r="12" spans="1:11" x14ac:dyDescent="0.25">
      <c r="D12" t="s">
        <v>6</v>
      </c>
      <c r="E12">
        <f t="shared" si="0"/>
        <v>2035</v>
      </c>
      <c r="F12" s="10">
        <f>BY_MANHEAT!$H$5*(J12)</f>
        <v>33528.116062179717</v>
      </c>
      <c r="G12" s="13" t="s">
        <v>17</v>
      </c>
      <c r="J12">
        <v>4.3677855830195487</v>
      </c>
    </row>
    <row r="13" spans="1:11" x14ac:dyDescent="0.25">
      <c r="D13" t="s">
        <v>6</v>
      </c>
      <c r="E13">
        <f t="shared" si="0"/>
        <v>2040</v>
      </c>
      <c r="F13" s="10">
        <f>BY_MANHEAT!$H$5*(J13)</f>
        <v>56467.242854129028</v>
      </c>
      <c r="G13" s="13" t="s">
        <v>17</v>
      </c>
      <c r="J13">
        <v>7.356118929966927</v>
      </c>
    </row>
    <row r="14" spans="1:11" x14ac:dyDescent="0.25">
      <c r="D14" t="s">
        <v>6</v>
      </c>
      <c r="E14">
        <f t="shared" si="0"/>
        <v>2045</v>
      </c>
      <c r="F14" s="10">
        <f>BY_MANHEAT!$H$5*(J14)</f>
        <v>93384.808269005094</v>
      </c>
      <c r="G14" s="13" t="s">
        <v>17</v>
      </c>
      <c r="J14">
        <v>12.165455955651089</v>
      </c>
    </row>
    <row r="15" spans="1:11" x14ac:dyDescent="0.25">
      <c r="D15" t="s">
        <v>6</v>
      </c>
      <c r="E15">
        <f t="shared" si="0"/>
        <v>2050</v>
      </c>
      <c r="F15" s="10">
        <f>BY_MANHEAT!$H$5*(J15)</f>
        <v>152302.6129454516</v>
      </c>
      <c r="G15" s="13" t="s">
        <v>17</v>
      </c>
      <c r="J15">
        <v>19.840815268166384</v>
      </c>
    </row>
  </sheetData>
  <mergeCells count="1">
    <mergeCell ref="J1:K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BY_MANHEAT</vt:lpstr>
      <vt:lpstr>IND_MANHEAT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2026-01-02T16:24:01Z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2025-11-04T10:19:36Z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74c661e3-da2c-42cc-8c0d-2496fa91bca0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