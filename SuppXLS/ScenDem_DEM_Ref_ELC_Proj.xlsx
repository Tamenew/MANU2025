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14" documentId="13_ncr:1_{2110A283-1A00-4BBC-BE80-BF509B50CC26}" xr6:coauthVersionLast="47" xr6:coauthVersionMax="47" xr10:uidLastSave="{9B32EC96-536E-4BEF-8445-E0C8D1F1DC35}"/>
  <bookViews>
    <workbookView xWindow="-28920" yWindow="-120" windowWidth="29040" windowHeight="15720" activeTab="1" xr2:uid="{00000000-000D-0000-FFFF-FFFF00000000}"/>
  </bookViews>
  <sheets>
    <sheet name="BY_MELC" sheetId="6" r:id="rId1"/>
    <sheet name="IND_MEL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<sst xmlns="http://schemas.openxmlformats.org/spreadsheetml/2006/main" count="37" uniqueCount="18">
  <si>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</si>
  <si>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</si>
  <si>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</si>
  <si>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</si>
  <si>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</si>
  <si>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</si>
  <si>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</si>
  <si>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</si>
  <si>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Operation_Sum_Avg_Count</t>
  </si>
  <si>
    <t>Scenario Name</t>
  </si>
  <si>
    <t>A</t>
  </si>
  <si>
    <t>BASE</t>
  </si>
  <si>
    <t>ETH</t>
  </si>
  <si>
    <t>MANELC</t>
  </si>
  <si>
    <t>Year2</t>
  </si>
  <si>
    <t>Year</t>
  </si>
  <si>
    <t>DayNite</t>
  </si>
  <si>
    <t>~TFM_FILL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</si>
</sst>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1" fontId="0" fillId="0" borderId="0" xfId="0" applyNumberFormat="1"/>
    <xf numFmtId="2" fontId="0" fillId="0" borderId="0" xfId="0" applyNumberFormat="1"/>
    <xf numFmtId="0" fontId="9" fillId="6" borderId="0" xfId="1" applyFont="1" applyFill="1" applyBorder="1" applyAlignment="1">
      <alignment horizontal="center" wrapText="1"/>
    </xf>
    <xf numFmtId="0" fontId="2" fillId="0" borderId="0" xfId="0" applyFont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11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>
      <selection activeCell="H4" sqref="H4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17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8</v>
      </c>
      <c r="C3" s="7" t="s">
        <v>9</v>
      </c>
      <c r="D3" s="3" t="s">
        <v>4</v>
      </c>
      <c r="E3" s="3" t="s">
        <v>2</v>
      </c>
      <c r="F3" s="3" t="s">
        <v>1</v>
      </c>
      <c r="G3" s="3" t="s">
        <v>15</v>
      </c>
      <c r="H3" s="4" t="s">
        <v>12</v>
      </c>
      <c r="I3" s="5" t="s">
        <v>0</v>
      </c>
    </row>
    <row r="4" spans="2:9" x14ac:dyDescent="0.25">
      <c r="B4" t="s">
        <v>10</v>
      </c>
      <c r="C4" t="s">
        <v>11</v>
      </c>
      <c r="D4" t="s">
        <v>16</v>
      </c>
      <c r="F4" t="s">
        <v>6</v>
      </c>
      <c r="G4">
        <v>2022</v>
      </c>
      <c r="H4">
        <v>2861.5612011470998</v>
      </c>
      <c r="I4" t="s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K10" sqref="K10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1" ht="51.75" customHeight="1" x14ac:dyDescent="0.25">
      <c r="A1" t="s">
        <v>5</v>
      </c>
      <c r="J1" s="12" t="s">
        <v>7</v>
      </c>
      <c r="K1" s="12"/>
    </row>
    <row r="2" spans="1:11" x14ac:dyDescent="0.25">
      <c r="B2" s="1" t="s">
        <v>3</v>
      </c>
      <c r="G2" s="2"/>
      <c r="K2" t="s">
        <v>13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14</v>
      </c>
      <c r="F3" s="4" t="s">
        <v>12</v>
      </c>
      <c r="G3" s="5" t="s">
        <v>0</v>
      </c>
      <c r="J3" s="8"/>
      <c r="K3" s="8" t="s">
        <v>12</v>
      </c>
    </row>
    <row r="4" spans="1:11" x14ac:dyDescent="0.25">
      <c r="D4" t="s">
        <v>6</v>
      </c>
      <c r="E4">
        <v>2025</v>
      </c>
      <c r="F4" s="10">
        <f>BY_MELC!$H$4*(K4)</f>
        <v>3318.1076531301674</v>
      </c>
      <c r="G4" s="6" t="s">
        <v>13</v>
      </c>
      <c r="J4" s="9"/>
      <c r="K4" s="13">
        <v>1.1595445352697871</v>
      </c>
    </row>
    <row r="5" spans="1:11" x14ac:dyDescent="0.25">
      <c r="D5" t="s">
        <v>6</v>
      </c>
      <c r="E5">
        <v>2030</v>
      </c>
      <c r="F5" s="10">
        <f>BY_MELC!$H$4*(K5)</f>
        <v>4142.2574692157614</v>
      </c>
      <c r="G5" s="6" t="s">
        <v>13</v>
      </c>
      <c r="J5" s="9"/>
      <c r="K5" s="11">
        <v>1.4475515909131265</v>
      </c>
    </row>
    <row r="6" spans="1:11" x14ac:dyDescent="0.25">
      <c r="D6" t="s">
        <v>6</v>
      </c>
      <c r="E6">
        <v>2035</v>
      </c>
      <c r="F6" s="10">
        <f>BY_MELC!$H$4*(K6)</f>
        <v>5029.9962755546021</v>
      </c>
      <c r="G6" s="6" t="s">
        <v>13</v>
      </c>
      <c r="J6" s="9"/>
      <c r="K6" s="11">
        <v>1.7577804289274863</v>
      </c>
    </row>
    <row r="7" spans="1:11" x14ac:dyDescent="0.25">
      <c r="D7" t="s">
        <v>6</v>
      </c>
      <c r="E7">
        <v>2040</v>
      </c>
      <c r="F7" s="10">
        <f>BY_MELC!$H$4*(K7)</f>
        <v>5969.3463394956079</v>
      </c>
      <c r="G7" s="6" t="s">
        <v>13</v>
      </c>
      <c r="J7" s="9"/>
      <c r="K7" s="11">
        <v>2.0860453157887049</v>
      </c>
    </row>
    <row r="8" spans="1:11" x14ac:dyDescent="0.25">
      <c r="D8" t="s">
        <v>6</v>
      </c>
      <c r="E8">
        <v>2045</v>
      </c>
      <c r="F8" s="10">
        <f>BY_MELC!$H$4*(K8)</f>
        <v>6956.2968729223376</v>
      </c>
      <c r="G8" s="6" t="s">
        <v>13</v>
      </c>
      <c r="K8" s="11">
        <v>2.4309446431317987</v>
      </c>
    </row>
    <row r="9" spans="1:11" x14ac:dyDescent="0.25">
      <c r="D9" t="s">
        <v>6</v>
      </c>
      <c r="E9">
        <v>2050</v>
      </c>
      <c r="F9" s="10">
        <f>BY_MELC!$H$4*(K9)</f>
        <v>7994.3086724659179</v>
      </c>
      <c r="G9" s="6" t="s">
        <v>13</v>
      </c>
      <c r="K9" s="11">
        <v>2.7936878195235799</v>
      </c>
    </row>
    <row r="10" spans="1:11" x14ac:dyDescent="0.25">
      <c r="K10" s="11"/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BY_MELC</vt:lpstr>
      <vt:lpstr>IND_MELC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2026-01-02T16:21:46Z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