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46B6DA7B-98A2-4530-8831-A9DEF8F2939D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9" i="145"/>
  <c r="E10" i="145"/>
  <c r="S10" i="145"/>
  <c r="E11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D22" i="143"/>
  <c r="B23" i="143"/>
  <c r="E2" i="145"/>
  <c r="D21" i="143"/>
  <c r="D23" i="137"/>
  <c r="D24" i="137"/>
  <c r="D25" i="137"/>
  <c r="D18" i="133"/>
  <c r="D23" i="143"/>
  <c r="C23" i="143"/>
  <c r="O26" i="137"/>
  <c r="B26" i="137" s="1"/>
  <c r="D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B22" i="143"/>
  <c r="P25" i="137"/>
  <c r="K10" i="144"/>
  <c r="H11" i="144"/>
  <c r="H13" i="144" s="1"/>
  <c r="G11" i="144"/>
  <c r="G13" i="144" s="1"/>
  <c r="AB7" i="143"/>
  <c r="F2" i="143"/>
  <c r="E2" i="143"/>
  <c r="AB20" i="143" s="1"/>
  <c r="C2" i="143"/>
  <c r="AA7" i="143" s="1"/>
  <c r="B2" i="143"/>
  <c r="Z7" i="143" s="1"/>
  <c r="B9" i="146" s="1"/>
  <c r="F2" i="145"/>
  <c r="G4" i="137"/>
  <c r="G3" i="137"/>
  <c r="C20" i="143"/>
  <c r="C22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J13" i="133" l="1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<sst xmlns="http://schemas.openxmlformats.org/spreadsheetml/2006/main" count="783" uniqueCount="267">
  <si>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</si>
  <si>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</si>
  <si>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</si>
  <si>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</si>
  <si>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</si>
  <si>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</si>
  <si>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</si>
  <si>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</si>
  <si>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</si>
  <si>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</si>
  <si>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</si>
  <si>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</si>
  <si>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</si>
  <si>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</si>
  <si>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</si>
  <si>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</si>
  <si>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</si>
  <si>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</si>
  <si>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</si>
  <si>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</si>
  <si>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</si>
  <si>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</si>
  <si>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</si>
  <si>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</si>
  <si>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</si>
  <si>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</si>
  <si>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</si>
  <si>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</si>
  <si>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</si>
  <si>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</si>
  <si>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</si>
  <si>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</si>
  <si>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</si>
  <si>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</si>
  <si>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</si>
  <si>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</si>
  <si>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</si>
  <si>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</si>
  <si>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</si>
  <si>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</si>
  <si>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</si>
  <si>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</si>
  <si>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</si>
  <si>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</si>
  <si>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</si>
  <si>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</si>
  <si>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</si>
  <si>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</si>
  <si>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</si>
  <si>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</si>
  <si>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</si>
  <si>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</si>
  <si>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</si>
  <si>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</si>
  <si>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</si>
  <si>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</si>
  <si>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</si>
  <si>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</si>
  <si>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</si>
  <si>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</si>
  <si>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</si>
  <si>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</si>
  <si>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</si>
  <si>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</si>
  <si>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</si>
  <si>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</si>
  <si>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</si>
  <si>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</si>
  <si>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</si>
  <si>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</si>
  <si>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</si>
  <si>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</si>
  <si>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</si>
  <si>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</si>
  <si>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</si>
  <si>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</si>
  <si>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</si>
  <si>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</si>
  <si>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</si>
  <si>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</si>
  <si>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</si>
  <si>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</si>
  <si>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</si>
  <si>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</si>
  <si>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</si>
  <si>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</si>
  <si>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</si>
  <si>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</si>
  <si>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</si>
  <si>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</si>
  <si>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</si>
  <si>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</si>
  <si>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</si>
  <si>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</si>
  <si>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</si>
  <si>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</si>
  <si>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</si>
  <si>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</si>
  <si>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</si>
  <si>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</si>
  <si>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</si>
  <si>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</si>
  <si>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</si>
  <si>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</si>
  <si>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</si>
  <si>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</si>
  <si>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</si>
  <si>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</si>
  <si>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</si>
  <si>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</si>
  <si>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</si>
  <si>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</si>
  <si>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</si>
  <si>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</si>
  <si>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</si>
  <si>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</si>
  <si>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</si>
  <si>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</si>
  <si>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</si>
  <si>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</si>
  <si>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</si>
  <si>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</si>
  <si>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</si>
  <si>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</si>
  <si>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</si>
  <si>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</si>
  <si>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</si>
  <si>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</si>
  <si>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</si>
  <si>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</si>
  <si>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</si>
  <si>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</si>
  <si>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</si>
  <si>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</si>
  <si>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</si>
  <si>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</si>
  <si>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</si>
  <si>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</si>
  <si>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</si>
  <si>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</si>
  <si>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</si>
  <si>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</si>
  <si>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</si>
  <si>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</si>
  <si>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</si>
  <si>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</si>
  <si>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</si>
  <si>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</si>
  <si>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</si>
  <si>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</si>
  <si>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</si>
  <si>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</si>
  <si>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</si>
  <si>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</si>
  <si>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</si>
  <si>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</si>
  <si>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</si>
  <si>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</si>
  <si>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</si>
  <si>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</si>
  <si>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</si>
  <si>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</si>
  <si>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</si>
  <si>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</si>
  <si>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</si>
  <si>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</si>
  <si>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</si>
  <si>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</si>
  <si>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</si>
  <si>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</si>
  <si>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</si>
  <si>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</si>
  <si>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</si>
  <si>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</si>
  <si>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</si>
  <si>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</si>
  <si>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</si>
  <si>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</si>
  <si>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</si>
  <si>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</si>
  <si>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</si>
  <si>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</si>
  <si>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</si>
  <si>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</si>
  <si>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</si>
  <si>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</si>
  <si>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</si>
  <si>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</si>
  <si>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</si>
  <si>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</si>
  <si>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</si>
  <si>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</si>
  <si>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</si>
  <si>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</si>
  <si>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</si>
  <si>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</si>
  <si>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</si>
  <si>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</si>
  <si>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</si>
  <si>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</si>
  <si>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</si>
  <si>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</si>
  <si>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</si>
  <si>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</si>
  <si>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</si>
  <si>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</si>
  <si>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</si>
  <si>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</si>
  <si>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</si>
  <si>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</si>
  <si>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</si>
  <si>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</si>
  <si>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</si>
  <si>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</si>
  <si>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</si>
  <si>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</si>
  <si>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</si>
  <si>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</si>
  <si>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</si>
  <si>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</si>
  <si>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</si>
  <si>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</si>
  <si>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</si>
  <si>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</si>
  <si>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</si>
  <si>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</si>
  <si>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</si>
  <si>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</si>
  <si>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</si>
  <si>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</si>
  <si>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</si>
  <si>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</si>
  <si>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</si>
  <si>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</si>
  <si>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</si>
  <si>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</si>
  <si>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</si>
  <si>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</si>
  <si>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</si>
  <si>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MANCO2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</si>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</sst>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0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36</xdr:row>
      <xdr:rowOff>65943</xdr:rowOff>
    </xdr:from>
    <xdr:to>
      <xdr:col>26</xdr:col>
      <xdr:colOff>3771674</xdr:colOff>
      <xdr:row>41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155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topLeftCell="A51" zoomScale="122" zoomScaleNormal="122" workbookViewId="0">
      <selection activeCell="E57" sqref="E57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252</v>
      </c>
      <c r="P2" s="7" t="s">
        <v>148</v>
      </c>
      <c r="Q2" s="7" t="s">
        <v>206</v>
      </c>
    </row>
    <row r="3" spans="2:17" x14ac:dyDescent="0.3">
      <c r="C3" s="4"/>
      <c r="D3" s="28" t="s">
        <v>155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249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250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251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D19" zoomScale="148" zoomScaleNormal="148" workbookViewId="0">
      <selection activeCell="O26" sqref="O26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199</v>
      </c>
      <c r="D4" s="1" t="s">
        <v>197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"/>
      <c r="M5" s="64" t="s">
        <v>74</v>
      </c>
      <c r="N5" s="68"/>
      <c r="O5" s="136" t="s">
        <v>203</v>
      </c>
      <c r="P5" s="64" t="s">
        <v>152</v>
      </c>
      <c r="Q5" s="64" t="s">
        <v>148</v>
      </c>
      <c r="R5" s="64"/>
      <c r="S5" s="137" t="s">
        <v>202</v>
      </c>
      <c r="T5" s="64"/>
      <c r="U5" s="64"/>
    </row>
    <row r="6" spans="2:21" ht="15.6" x14ac:dyDescent="0.3">
      <c r="C6" s="138"/>
      <c r="D6" s="138"/>
      <c r="E6" s="77"/>
      <c r="F6" s="138"/>
      <c r="G6" s="7"/>
      <c r="M6" s="64" t="s">
        <v>74</v>
      </c>
      <c r="N6" s="68"/>
      <c r="O6" s="136" t="s">
        <v>204</v>
      </c>
      <c r="P6" s="64" t="s">
        <v>153</v>
      </c>
      <c r="Q6" s="64" t="s">
        <v>148</v>
      </c>
      <c r="R6" s="64"/>
      <c r="S6" s="137" t="s">
        <v>202</v>
      </c>
      <c r="T6" s="64"/>
      <c r="U6" s="64"/>
    </row>
    <row r="7" spans="2:21" ht="15.6" x14ac:dyDescent="0.3">
      <c r="C7" s="138"/>
      <c r="D7" s="138"/>
      <c r="E7" s="77"/>
      <c r="F7" s="138"/>
      <c r="G7" s="7"/>
      <c r="M7" s="64" t="s">
        <v>74</v>
      </c>
      <c r="N7" s="68"/>
      <c r="O7" s="136" t="s">
        <v>205</v>
      </c>
      <c r="P7" s="64" t="s">
        <v>154</v>
      </c>
      <c r="Q7" s="64" t="s">
        <v>148</v>
      </c>
      <c r="R7" s="64"/>
      <c r="S7" s="137" t="s">
        <v>202</v>
      </c>
      <c r="T7" s="64"/>
      <c r="U7" s="64"/>
    </row>
    <row r="8" spans="2:21" ht="15.6" x14ac:dyDescent="0.3">
      <c r="C8" s="138"/>
      <c r="D8" s="138"/>
      <c r="E8" s="77"/>
      <c r="F8" s="138"/>
      <c r="G8" s="7"/>
      <c r="M8" s="136" t="s">
        <v>46</v>
      </c>
      <c r="N8" s="68"/>
      <c r="O8" s="136" t="s">
        <v>46</v>
      </c>
      <c r="P8" s="136" t="s">
        <v>207</v>
      </c>
      <c r="Q8" s="64" t="s">
        <v>148</v>
      </c>
      <c r="R8" s="64"/>
      <c r="S8" s="137" t="s">
        <v>202</v>
      </c>
      <c r="T8" s="64"/>
      <c r="U8" s="64"/>
    </row>
    <row r="9" spans="2:21" ht="15.6" x14ac:dyDescent="0.3">
      <c r="C9" s="138"/>
      <c r="D9" s="138"/>
      <c r="E9" s="77"/>
      <c r="F9" s="138"/>
      <c r="G9" s="7"/>
      <c r="M9" s="139"/>
      <c r="N9" s="139"/>
      <c r="O9" s="139"/>
      <c r="P9" s="139"/>
      <c r="Q9" s="139"/>
      <c r="R9" s="64"/>
      <c r="S9" s="64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253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202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202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202</v>
      </c>
    </row>
    <row r="26" spans="2:21" x14ac:dyDescent="0.25">
      <c r="B26" s="64" t="str">
        <f>O26</f>
        <v>ELCGRID</v>
      </c>
      <c r="C26" s="68"/>
      <c r="D26" s="136" t="str">
        <f>O$8</f>
        <v>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s="138" t="s">
        <v>46</v>
      </c>
      <c r="N26" s="138"/>
      <c r="O26" s="68" t="str">
        <f>$M$26&amp;$C$4</f>
        <v>ELCGRID</v>
      </c>
      <c r="P26" s="140" t="s">
        <v>200</v>
      </c>
      <c r="Q26" t="s">
        <v>148</v>
      </c>
      <c r="S26" s="137" t="s">
        <v>202</v>
      </c>
    </row>
    <row r="27" spans="2:21" x14ac:dyDescent="0.25">
      <c r="B27" s="147"/>
      <c r="C27" s="147"/>
      <c r="D27" s="136"/>
      <c r="E27" s="146"/>
      <c r="F27" s="138"/>
      <c r="G27" s="138"/>
      <c r="H27" s="163"/>
      <c r="I27" s="166"/>
      <c r="J27" s="163"/>
      <c r="K27" s="163"/>
      <c r="M27" s="138"/>
      <c r="N27" s="138"/>
      <c r="O27" s="139"/>
      <c r="P27" s="140"/>
      <c r="Q27" s="138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59"/>
  <sheetViews>
    <sheetView tabSelected="1" topLeftCell="A12" zoomScale="118" zoomScaleNormal="118" workbookViewId="0">
      <selection activeCell="U30" sqref="U30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213</v>
      </c>
      <c r="AA5" s="142" t="s">
        <v>211</v>
      </c>
      <c r="AB5" s="90" t="s">
        <v>148</v>
      </c>
      <c r="AC5" s="90"/>
      <c r="AD5" s="90"/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201</v>
      </c>
      <c r="AB6" s="90" t="s">
        <v>148</v>
      </c>
      <c r="AC6" s="90"/>
      <c r="AD6" s="90"/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ktoe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248</v>
      </c>
      <c r="AA8" s="142" t="s">
        <v>212</v>
      </c>
      <c r="AB8" s="154" t="s">
        <v>148</v>
      </c>
      <c r="AC8" s="90"/>
      <c r="AD8" s="90"/>
      <c r="AE8" s="90"/>
      <c r="AF8" s="90"/>
    </row>
    <row r="9" spans="2:32" x14ac:dyDescent="0.25">
      <c r="X9" s="142"/>
      <c r="Y9" s="142"/>
      <c r="Z9" s="142"/>
      <c r="AA9" s="142"/>
      <c r="AB9" s="154"/>
      <c r="AC9" s="90"/>
      <c r="AD9" s="90"/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214</v>
      </c>
      <c r="F17" s="96" t="s">
        <v>264</v>
      </c>
      <c r="G17" s="96" t="s">
        <v>243</v>
      </c>
      <c r="H17" s="96" t="s">
        <v>244</v>
      </c>
      <c r="I17" s="96" t="s">
        <v>245</v>
      </c>
      <c r="J17" s="96" t="s">
        <v>246</v>
      </c>
      <c r="K17" s="96" t="s">
        <v>247</v>
      </c>
      <c r="L17" s="96" t="s">
        <v>263</v>
      </c>
      <c r="M17" s="95" t="s">
        <v>102</v>
      </c>
      <c r="N17" s="95" t="s">
        <v>103</v>
      </c>
      <c r="O17" s="95" t="s">
        <v>104</v>
      </c>
      <c r="P17" s="95" t="s">
        <v>209</v>
      </c>
      <c r="Q17" s="95" t="s">
        <v>156</v>
      </c>
      <c r="R17" s="95" t="s">
        <v>157</v>
      </c>
      <c r="S17" s="95" t="s">
        <v>255</v>
      </c>
      <c r="T17" s="95" t="s">
        <v>149</v>
      </c>
      <c r="U17" s="95" t="s">
        <v>240</v>
      </c>
      <c r="V17" s="95" t="s">
        <v>258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210</v>
      </c>
      <c r="Q18" s="97" t="s">
        <v>158</v>
      </c>
      <c r="R18" s="98" t="s">
        <v>159</v>
      </c>
      <c r="S18" s="98" t="s">
        <v>256</v>
      </c>
      <c r="T18" s="97" t="s">
        <v>150</v>
      </c>
      <c r="U18" s="97" t="s">
        <v>241</v>
      </c>
      <c r="V18" s="97" t="s">
        <v>259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192</v>
      </c>
      <c r="F19" s="100" t="s">
        <v>208</v>
      </c>
      <c r="G19" s="100" t="s">
        <v>208</v>
      </c>
      <c r="H19" s="100" t="s">
        <v>208</v>
      </c>
      <c r="I19" s="100" t="s">
        <v>208</v>
      </c>
      <c r="J19" s="100" t="s">
        <v>208</v>
      </c>
      <c r="K19" s="100" t="s">
        <v>208</v>
      </c>
      <c r="L19" s="100" t="s">
        <v>208</v>
      </c>
      <c r="M19" s="100"/>
      <c r="N19" s="101"/>
      <c r="O19" s="100" t="s">
        <v>108</v>
      </c>
      <c r="P19" s="100"/>
      <c r="Q19" s="100" t="s">
        <v>254</v>
      </c>
      <c r="R19" s="100" t="s">
        <v>257</v>
      </c>
      <c r="S19" s="100" t="s">
        <v>266</v>
      </c>
      <c r="T19" s="100"/>
      <c r="U19" s="100" t="s">
        <v>242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193</v>
      </c>
      <c r="AB20" s="90" t="str">
        <f>$E$2</f>
        <v>GWh</v>
      </c>
      <c r="AC20" s="90" t="s">
        <v>142</v>
      </c>
      <c r="AD20" s="154" t="s">
        <v>202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202</v>
      </c>
      <c r="AE21" s="154"/>
      <c r="AF21" s="90"/>
    </row>
    <row r="22" spans="2:32" x14ac:dyDescent="0.25">
      <c r="B22" s="88" t="str">
        <f>Z$21</f>
        <v>Boiler</v>
      </c>
      <c r="C22" s="88" t="str">
        <f>PRI_Sector_Fuels!O7</f>
        <v>MANOILIMP</v>
      </c>
      <c r="D22" s="90" t="str">
        <f>Z$5</f>
        <v>MANHEAT</v>
      </c>
      <c r="E22" s="105"/>
      <c r="F22" s="102">
        <v>1</v>
      </c>
      <c r="G22" s="102"/>
      <c r="H22" s="102"/>
      <c r="I22" s="102"/>
      <c r="J22" s="102"/>
      <c r="K22" s="102"/>
      <c r="L22" s="102"/>
      <c r="M22" s="103">
        <v>0.8</v>
      </c>
      <c r="N22" s="105">
        <v>1</v>
      </c>
      <c r="O22" s="104">
        <v>25</v>
      </c>
      <c r="P22" s="121"/>
      <c r="Q22" s="188">
        <v>62.9</v>
      </c>
      <c r="R22" s="189">
        <v>2.2999999999999998</v>
      </c>
      <c r="S22" s="189">
        <v>1.82</v>
      </c>
      <c r="T22" s="104">
        <v>8.76</v>
      </c>
      <c r="U22" s="104"/>
      <c r="V22" s="104"/>
      <c r="W22" s="110"/>
      <c r="X22" s="88" t="s">
        <v>109</v>
      </c>
      <c r="Z22" s="145" t="s">
        <v>265</v>
      </c>
      <c r="AA22" s="88" t="s">
        <v>198</v>
      </c>
      <c r="AB22" s="88" t="s">
        <v>148</v>
      </c>
      <c r="AC22" s="88" t="s">
        <v>142</v>
      </c>
      <c r="AD22" s="154" t="s">
        <v>202</v>
      </c>
    </row>
    <row r="23" spans="2:32" s="141" customFormat="1" x14ac:dyDescent="0.25">
      <c r="B23" s="94" t="str">
        <f>Z22</f>
        <v>MANELC_TECH</v>
      </c>
      <c r="C23" s="94" t="str">
        <f>PRI_Sector_Fuels!O8</f>
        <v>ELC</v>
      </c>
      <c r="D23" s="90" t="str">
        <f>Z6</f>
        <v>MANELC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41">
        <v>1</v>
      </c>
      <c r="N23" s="141">
        <v>1</v>
      </c>
      <c r="O23" s="141">
        <v>50</v>
      </c>
      <c r="R23" s="104"/>
      <c r="S23" s="104"/>
      <c r="T23" s="104">
        <v>8.76</v>
      </c>
      <c r="U23" s="104"/>
      <c r="V23" s="104">
        <v>1</v>
      </c>
      <c r="AB23" s="88"/>
      <c r="AC23" s="88"/>
      <c r="AD23" s="154"/>
    </row>
    <row r="24" spans="2:32" s="141" customFormat="1" x14ac:dyDescent="0.25">
      <c r="B24" s="94" t="s">
        <v>141</v>
      </c>
      <c r="C24" s="142"/>
      <c r="D24" s="154" t="s">
        <v>239</v>
      </c>
      <c r="E24" s="143"/>
      <c r="F24" s="144"/>
      <c r="G24" s="144"/>
      <c r="H24" s="144"/>
      <c r="I24" s="144"/>
      <c r="J24" s="144"/>
      <c r="K24" s="144"/>
      <c r="L24" s="144"/>
      <c r="R24" s="104"/>
      <c r="S24" s="104"/>
      <c r="T24" s="104"/>
      <c r="U24" s="104">
        <v>0.34100000000000003</v>
      </c>
      <c r="V24" s="104"/>
      <c r="AB24" s="94"/>
      <c r="AC24" s="94"/>
    </row>
    <row r="25" spans="2:32" s="141" customFormat="1" x14ac:dyDescent="0.25">
      <c r="B25" s="94" t="s">
        <v>143</v>
      </c>
      <c r="C25" s="142"/>
      <c r="D25" s="154" t="s">
        <v>239</v>
      </c>
      <c r="E25" s="143"/>
      <c r="F25" s="144"/>
      <c r="G25" s="144"/>
      <c r="H25" s="144"/>
      <c r="I25" s="144"/>
      <c r="J25" s="144"/>
      <c r="K25" s="144"/>
      <c r="L25" s="144"/>
      <c r="R25" s="104"/>
      <c r="S25" s="104"/>
      <c r="T25" s="104"/>
      <c r="U25" s="104">
        <v>0.25900000000000001</v>
      </c>
      <c r="V25" s="104"/>
      <c r="AB25" s="94"/>
      <c r="AC25" s="94"/>
    </row>
    <row r="26" spans="2:32" s="141" customFormat="1" x14ac:dyDescent="0.25">
      <c r="B26" s="94"/>
      <c r="C26" s="142"/>
      <c r="D26" s="154"/>
      <c r="E26" s="143"/>
      <c r="F26" s="144"/>
      <c r="G26" s="144"/>
      <c r="H26" s="144"/>
      <c r="I26" s="144"/>
      <c r="J26" s="144"/>
      <c r="K26" s="144"/>
      <c r="L26" s="144"/>
      <c r="R26" s="110"/>
      <c r="S26" s="110"/>
      <c r="T26" s="110"/>
      <c r="U26" s="110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AB28" s="94"/>
      <c r="AC28" s="94"/>
      <c r="AD28" s="152"/>
    </row>
    <row r="29" spans="2:32" s="141" customFormat="1" x14ac:dyDescent="0.25">
      <c r="AC29" s="94"/>
    </row>
    <row r="30" spans="2:32" s="110" customFormat="1" x14ac:dyDescent="0.25">
      <c r="B30" s="145"/>
      <c r="C30" s="90"/>
      <c r="D30" s="90"/>
      <c r="E30" s="143"/>
      <c r="F30" s="144"/>
      <c r="G30" s="144"/>
      <c r="H30" s="144"/>
      <c r="I30" s="144"/>
      <c r="J30" s="144"/>
      <c r="K30" s="144"/>
      <c r="L30" s="144"/>
      <c r="M30" s="141"/>
      <c r="N30" s="141"/>
      <c r="O30" s="141"/>
      <c r="P30" s="141"/>
      <c r="Q30" s="141"/>
    </row>
    <row r="31" spans="2:32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142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E33" s="145"/>
      <c r="F33" s="106"/>
      <c r="G33" s="106"/>
      <c r="H33" s="106"/>
      <c r="I33" s="106"/>
      <c r="J33" s="106"/>
      <c r="K33" s="106"/>
      <c r="L33" s="106"/>
      <c r="N33" s="164"/>
      <c r="Q33" s="164"/>
      <c r="AB33" s="90"/>
      <c r="AC33" s="90"/>
      <c r="AD33" s="15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Y34" s="110"/>
      <c r="AA34" s="110"/>
      <c r="AB34" s="111"/>
      <c r="AC34" s="11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07"/>
      <c r="Q35" s="164"/>
    </row>
    <row r="36" spans="2:30" x14ac:dyDescent="0.25">
      <c r="E36" s="145"/>
      <c r="N36" s="107"/>
      <c r="O36" s="106"/>
      <c r="Q36" s="164"/>
    </row>
    <row r="37" spans="2:30" x14ac:dyDescent="0.25">
      <c r="B37" s="104"/>
      <c r="C37" s="88" t="s">
        <v>97</v>
      </c>
      <c r="N37" s="107"/>
    </row>
    <row r="38" spans="2:30" x14ac:dyDescent="0.25">
      <c r="B38" s="108"/>
      <c r="C38" s="88" t="s">
        <v>98</v>
      </c>
      <c r="N38" s="107"/>
    </row>
    <row r="39" spans="2:30" x14ac:dyDescent="0.25">
      <c r="N39" s="107"/>
    </row>
    <row r="42" spans="2:30" x14ac:dyDescent="0.25">
      <c r="E42" s="21"/>
    </row>
    <row r="44" spans="2:30" x14ac:dyDescent="0.25">
      <c r="B44" s="88" t="s">
        <v>39</v>
      </c>
      <c r="C44" s="88" t="s">
        <v>32</v>
      </c>
      <c r="D44" s="88" t="s">
        <v>33</v>
      </c>
      <c r="E44" s="88" t="s">
        <v>105</v>
      </c>
      <c r="F44" s="88" t="s">
        <v>140</v>
      </c>
      <c r="G44" s="88" t="s">
        <v>140</v>
      </c>
      <c r="H44" s="88" t="s">
        <v>140</v>
      </c>
      <c r="I44" s="88" t="s">
        <v>140</v>
      </c>
      <c r="J44" s="88" t="s">
        <v>140</v>
      </c>
      <c r="K44" s="88" t="s">
        <v>140</v>
      </c>
      <c r="L44" s="88" t="s">
        <v>140</v>
      </c>
    </row>
    <row r="45" spans="2:30" x14ac:dyDescent="0.25">
      <c r="B45" s="94" t="s">
        <v>87</v>
      </c>
      <c r="C45" s="142"/>
      <c r="D45" s="90"/>
      <c r="E45" s="143" t="s">
        <v>192</v>
      </c>
      <c r="F45" s="144" t="s">
        <v>208</v>
      </c>
      <c r="G45" s="144" t="s">
        <v>208</v>
      </c>
      <c r="H45" s="144" t="s">
        <v>208</v>
      </c>
      <c r="I45" s="144" t="s">
        <v>208</v>
      </c>
      <c r="J45" s="144" t="s">
        <v>208</v>
      </c>
      <c r="K45" s="144" t="s">
        <v>208</v>
      </c>
      <c r="L45" s="144" t="s">
        <v>208</v>
      </c>
      <c r="M45" s="141"/>
      <c r="N45" s="141"/>
      <c r="O45" s="141"/>
      <c r="P45" s="141"/>
      <c r="Q45" s="141"/>
      <c r="R45" s="141"/>
      <c r="S45" s="141"/>
      <c r="T45" s="141"/>
    </row>
    <row r="46" spans="2:30" x14ac:dyDescent="0.25">
      <c r="B46" s="94" t="s">
        <v>141</v>
      </c>
      <c r="C46" s="142" t="s">
        <v>260</v>
      </c>
      <c r="D46" s="90" t="s">
        <v>248</v>
      </c>
      <c r="E46" s="143"/>
      <c r="F46" s="144">
        <v>0.59</v>
      </c>
      <c r="G46" s="144"/>
      <c r="H46" s="144"/>
      <c r="I46" s="144"/>
      <c r="J46" s="144"/>
      <c r="K46" s="144"/>
      <c r="L46" s="144"/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88" t="s">
        <v>141</v>
      </c>
      <c r="C47" s="88" t="s">
        <v>261</v>
      </c>
      <c r="D47" s="88" t="s">
        <v>248</v>
      </c>
      <c r="F47" s="88">
        <v>0.41136476969163144</v>
      </c>
      <c r="G47" s="88">
        <v>0.23585310113354352</v>
      </c>
      <c r="H47" s="88">
        <v>7.3264515611810618E-2</v>
      </c>
      <c r="I47" s="88">
        <v>1.9847450096360672E-2</v>
      </c>
      <c r="J47" s="88">
        <v>5.1598550415568115E-3</v>
      </c>
      <c r="K47" s="88">
        <v>1.3267245984926927E-3</v>
      </c>
      <c r="L47" s="88">
        <v>3.4015961616990566E-4</v>
      </c>
    </row>
    <row r="48" spans="2:30" x14ac:dyDescent="0.25">
      <c r="B48" s="88" t="s">
        <v>143</v>
      </c>
      <c r="C48" s="88" t="s">
        <v>262</v>
      </c>
      <c r="D48" s="88" t="s">
        <v>213</v>
      </c>
      <c r="F48" s="88">
        <v>1</v>
      </c>
      <c r="G48" s="88">
        <v>1</v>
      </c>
      <c r="H48" s="88">
        <v>1</v>
      </c>
      <c r="I48" s="88">
        <v>1</v>
      </c>
      <c r="J48" s="88">
        <v>1</v>
      </c>
      <c r="K48" s="88">
        <v>1</v>
      </c>
      <c r="L48" s="88">
        <v>1</v>
      </c>
    </row>
    <row r="49" spans="2:12" x14ac:dyDescent="0.25">
      <c r="B49" s="88" t="s">
        <v>151</v>
      </c>
      <c r="C49" s="88" t="s">
        <v>46</v>
      </c>
      <c r="D49" s="88" t="s">
        <v>151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H50" s="178"/>
      <c r="I50" s="179"/>
    </row>
    <row r="53" spans="2:12" x14ac:dyDescent="0.25">
      <c r="G53" s="145"/>
      <c r="I53" s="145"/>
    </row>
    <row r="54" spans="2:12" x14ac:dyDescent="0.25">
      <c r="G54" s="145"/>
    </row>
    <row r="55" spans="2:12" s="94" customFormat="1" x14ac:dyDescent="0.25">
      <c r="H55" s="143"/>
    </row>
    <row r="56" spans="2:12" x14ac:dyDescent="0.25">
      <c r="F56" s="145"/>
      <c r="G56" s="145"/>
    </row>
    <row r="58" spans="2:12" x14ac:dyDescent="0.25">
      <c r="F58" s="145"/>
    </row>
    <row r="59" spans="2:12" x14ac:dyDescent="0.25">
      <c r="F59" s="145"/>
      <c r="H59" s="105"/>
    </row>
  </sheetData>
  <phoneticPr fontId="34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L22" zoomScale="226" zoomScaleNormal="226" workbookViewId="0">
      <selection activeCell="C10" sqref="C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160</v>
      </c>
      <c r="C6" s="114" t="s">
        <v>0</v>
      </c>
      <c r="D6" s="114" t="s">
        <v>161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162</v>
      </c>
      <c r="D7" s="117" t="s">
        <v>163</v>
      </c>
      <c r="E7" s="117" t="s">
        <v>164</v>
      </c>
      <c r="H7" s="114" t="s">
        <v>160</v>
      </c>
      <c r="I7" s="114" t="s">
        <v>0</v>
      </c>
      <c r="J7" s="114" t="s">
        <v>166</v>
      </c>
      <c r="K7" s="114">
        <v>2022</v>
      </c>
      <c r="M7" s="114" t="s">
        <v>160</v>
      </c>
      <c r="N7" s="114" t="s">
        <v>0</v>
      </c>
      <c r="O7" s="114" t="s">
        <v>166</v>
      </c>
      <c r="P7" s="114">
        <v>2022</v>
      </c>
      <c r="R7" s="114" t="s">
        <v>160</v>
      </c>
      <c r="S7" s="114" t="s">
        <v>0</v>
      </c>
      <c r="T7" s="114" t="s">
        <v>166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162</v>
      </c>
      <c r="J8" s="120"/>
      <c r="K8" s="120"/>
      <c r="M8" s="120" t="s">
        <v>81</v>
      </c>
      <c r="N8" s="120" t="s">
        <v>162</v>
      </c>
      <c r="O8" s="120"/>
      <c r="P8" s="120"/>
      <c r="R8" s="120" t="s">
        <v>81</v>
      </c>
      <c r="S8" s="120" t="s">
        <v>162</v>
      </c>
      <c r="T8" s="120"/>
      <c r="U8" s="120"/>
    </row>
    <row r="9" spans="2:21" s="20" customFormat="1" ht="21.6" thickBot="1" x14ac:dyDescent="0.3">
      <c r="B9" s="175" t="s">
        <v>165</v>
      </c>
      <c r="C9" s="175" t="s">
        <v>213</v>
      </c>
      <c r="D9" s="175" t="s">
        <v>148</v>
      </c>
      <c r="E9" s="47">
        <f>EBF!E18</f>
        <v>2605.1202084096003</v>
      </c>
      <c r="F9"/>
      <c r="G9"/>
      <c r="H9" s="9" t="s">
        <v>87</v>
      </c>
      <c r="I9" s="9"/>
      <c r="J9" s="9" t="s">
        <v>166</v>
      </c>
      <c r="K9" s="9"/>
      <c r="M9" s="9" t="s">
        <v>87</v>
      </c>
      <c r="N9" s="9"/>
      <c r="O9" s="9" t="s">
        <v>166</v>
      </c>
      <c r="P9" s="9"/>
      <c r="R9" s="9" t="s">
        <v>87</v>
      </c>
      <c r="S9" s="9"/>
      <c r="T9" s="9" t="s">
        <v>166</v>
      </c>
      <c r="U9" s="9"/>
    </row>
    <row r="10" spans="2:21" s="20" customFormat="1" ht="13.8" x14ac:dyDescent="0.25">
      <c r="B10" s="175" t="s">
        <v>165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167</v>
      </c>
      <c r="I10" s="1" t="str">
        <f>DemTechs_INDF!Z$6</f>
        <v>MANELC</v>
      </c>
      <c r="J10" s="145" t="s">
        <v>215</v>
      </c>
      <c r="K10" s="185">
        <v>3.3566276423652626E-2</v>
      </c>
      <c r="L10" s="186"/>
      <c r="M10" s="1" t="s">
        <v>167</v>
      </c>
      <c r="N10" s="1" t="str">
        <f>DemTechs_INDF!Z$5</f>
        <v>MANHEAT</v>
      </c>
      <c r="O10" s="145" t="s">
        <v>215</v>
      </c>
      <c r="P10" s="185">
        <v>3.3566276423652626E-2</v>
      </c>
      <c r="R10" s="1" t="s">
        <v>167</v>
      </c>
      <c r="S10" s="1" t="str">
        <f>DemTechs_INDF!Z$8</f>
        <v>CEMENTHEAT</v>
      </c>
      <c r="T10" s="145" t="s">
        <v>215</v>
      </c>
      <c r="U10" s="185">
        <v>3.3566276423652626E-2</v>
      </c>
    </row>
    <row r="11" spans="2:21" s="158" customFormat="1" ht="13.8" x14ac:dyDescent="0.25">
      <c r="B11" s="175" t="s">
        <v>165</v>
      </c>
      <c r="C11" s="175" t="s">
        <v>248</v>
      </c>
      <c r="D11" s="175" t="s">
        <v>148</v>
      </c>
      <c r="E11" s="47">
        <f>EBF!D18</f>
        <v>7676.2275585426005</v>
      </c>
      <c r="F11"/>
      <c r="G11"/>
      <c r="H11" s="1" t="s">
        <v>167</v>
      </c>
      <c r="I11" s="1" t="str">
        <f>DemTechs_INDF!Z$6</f>
        <v>MANELC</v>
      </c>
      <c r="J11" s="176" t="s">
        <v>216</v>
      </c>
      <c r="K11" s="185">
        <v>3.3302706089073604E-2</v>
      </c>
      <c r="L11" s="187"/>
      <c r="M11" s="1" t="s">
        <v>167</v>
      </c>
      <c r="N11" s="1" t="str">
        <f>DemTechs_INDF!Z$5</f>
        <v>MANHEAT</v>
      </c>
      <c r="O11" s="176" t="s">
        <v>216</v>
      </c>
      <c r="P11" s="185">
        <v>3.3302706089073604E-2</v>
      </c>
      <c r="R11" s="1" t="s">
        <v>167</v>
      </c>
      <c r="S11" s="1" t="str">
        <f>DemTechs_INDF!Z$8</f>
        <v>CEMENTHEAT</v>
      </c>
      <c r="T11" s="176" t="s">
        <v>216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167</v>
      </c>
      <c r="I12" s="1" t="str">
        <f>DemTechs_INDF!Z$6</f>
        <v>MANELC</v>
      </c>
      <c r="J12" s="145" t="s">
        <v>217</v>
      </c>
      <c r="K12" s="185">
        <v>3.3481814338032219E-2</v>
      </c>
      <c r="L12" s="184"/>
      <c r="M12" s="1" t="s">
        <v>167</v>
      </c>
      <c r="N12" s="1" t="str">
        <f>DemTechs_INDF!Z$5</f>
        <v>MANHEAT</v>
      </c>
      <c r="O12" s="145" t="s">
        <v>217</v>
      </c>
      <c r="P12" s="185">
        <v>3.3481814338032219E-2</v>
      </c>
      <c r="R12" s="1" t="s">
        <v>167</v>
      </c>
      <c r="S12" s="1" t="str">
        <f>DemTechs_INDF!Z$8</f>
        <v>CEMENTHEAT</v>
      </c>
      <c r="T12" s="145" t="s">
        <v>217</v>
      </c>
      <c r="U12" s="185">
        <v>3.3481814338032219E-2</v>
      </c>
    </row>
    <row r="13" spans="2:21" x14ac:dyDescent="0.25">
      <c r="H13" s="1" t="s">
        <v>167</v>
      </c>
      <c r="I13" s="1" t="str">
        <f>DemTechs_INDF!Z$6</f>
        <v>MANELC</v>
      </c>
      <c r="J13" s="176" t="s">
        <v>218</v>
      </c>
      <c r="K13" s="185">
        <v>3.3611381763990082E-2</v>
      </c>
      <c r="L13" s="184"/>
      <c r="M13" s="1" t="s">
        <v>167</v>
      </c>
      <c r="N13" s="1" t="str">
        <f>DemTechs_INDF!Z$5</f>
        <v>MANHEAT</v>
      </c>
      <c r="O13" s="176" t="s">
        <v>218</v>
      </c>
      <c r="P13" s="185">
        <v>3.3611381763990082E-2</v>
      </c>
      <c r="R13" s="1" t="s">
        <v>167</v>
      </c>
      <c r="S13" s="1" t="str">
        <f>DemTechs_INDF!Z$8</f>
        <v>CEMENTHEAT</v>
      </c>
      <c r="T13" s="176" t="s">
        <v>218</v>
      </c>
      <c r="U13" s="185">
        <v>3.3611381763990082E-2</v>
      </c>
    </row>
    <row r="14" spans="2:21" x14ac:dyDescent="0.25">
      <c r="H14" s="1" t="s">
        <v>167</v>
      </c>
      <c r="I14" s="1" t="str">
        <f>DemTechs_INDF!Z$6</f>
        <v>MANELC</v>
      </c>
      <c r="J14" s="145" t="s">
        <v>219</v>
      </c>
      <c r="K14" s="185">
        <v>3.4004820718610197E-2</v>
      </c>
      <c r="L14" s="184"/>
      <c r="M14" s="1" t="s">
        <v>167</v>
      </c>
      <c r="N14" s="1" t="str">
        <f>DemTechs_INDF!Z$5</f>
        <v>MANHEAT</v>
      </c>
      <c r="O14" s="145" t="s">
        <v>219</v>
      </c>
      <c r="P14" s="185">
        <v>3.4004820718610197E-2</v>
      </c>
      <c r="R14" s="1" t="s">
        <v>167</v>
      </c>
      <c r="S14" s="1" t="str">
        <f>DemTechs_INDF!Z$8</f>
        <v>CEMENTHEAT</v>
      </c>
      <c r="T14" s="145" t="s">
        <v>219</v>
      </c>
      <c r="U14" s="185">
        <v>3.4004820718610197E-2</v>
      </c>
    </row>
    <row r="15" spans="2:21" x14ac:dyDescent="0.25">
      <c r="H15" s="1" t="s">
        <v>167</v>
      </c>
      <c r="I15" s="1" t="str">
        <f>DemTechs_INDF!Z$6</f>
        <v>MANELC</v>
      </c>
      <c r="J15" s="176" t="s">
        <v>220</v>
      </c>
      <c r="K15" s="185">
        <v>3.4081384083392653E-2</v>
      </c>
      <c r="L15" s="184"/>
      <c r="M15" s="1" t="s">
        <v>167</v>
      </c>
      <c r="N15" s="1" t="str">
        <f>DemTechs_INDF!Z$5</f>
        <v>MANHEAT</v>
      </c>
      <c r="O15" s="176" t="s">
        <v>220</v>
      </c>
      <c r="P15" s="185">
        <v>3.4081384083392653E-2</v>
      </c>
      <c r="R15" s="1" t="s">
        <v>167</v>
      </c>
      <c r="S15" s="1" t="str">
        <f>DemTechs_INDF!Z$8</f>
        <v>CEMENTHEAT</v>
      </c>
      <c r="T15" s="176" t="s">
        <v>220</v>
      </c>
      <c r="U15" s="185">
        <v>3.4081384083392653E-2</v>
      </c>
    </row>
    <row r="16" spans="2:21" x14ac:dyDescent="0.25">
      <c r="H16" s="1" t="s">
        <v>167</v>
      </c>
      <c r="I16" s="1" t="str">
        <f>DemTechs_INDF!Z$6</f>
        <v>MANELC</v>
      </c>
      <c r="J16" s="145" t="s">
        <v>221</v>
      </c>
      <c r="K16" s="185">
        <v>3.3156795624830704E-2</v>
      </c>
      <c r="L16" s="184"/>
      <c r="M16" s="1" t="s">
        <v>167</v>
      </c>
      <c r="N16" s="1" t="str">
        <f>DemTechs_INDF!Z$5</f>
        <v>MANHEAT</v>
      </c>
      <c r="O16" s="145" t="s">
        <v>221</v>
      </c>
      <c r="P16" s="185">
        <v>3.3156795624830704E-2</v>
      </c>
      <c r="R16" s="1" t="s">
        <v>167</v>
      </c>
      <c r="S16" s="1" t="str">
        <f>DemTechs_INDF!Z$8</f>
        <v>CEMENTHEAT</v>
      </c>
      <c r="T16" s="145" t="s">
        <v>221</v>
      </c>
      <c r="U16" s="185">
        <v>3.3156795624830704E-2</v>
      </c>
    </row>
    <row r="17" spans="4:21" x14ac:dyDescent="0.25">
      <c r="H17" t="s">
        <v>167</v>
      </c>
      <c r="I17" t="str">
        <f>DemTechs_INDF!Z$6</f>
        <v>MANELC</v>
      </c>
      <c r="J17" t="s">
        <v>222</v>
      </c>
      <c r="K17" s="185">
        <v>3.6518070997817571E-2</v>
      </c>
      <c r="L17" s="184"/>
      <c r="M17" t="s">
        <v>167</v>
      </c>
      <c r="N17" s="1" t="str">
        <f>DemTechs_INDF!Z$5</f>
        <v>MANHEAT</v>
      </c>
      <c r="O17" t="s">
        <v>222</v>
      </c>
      <c r="P17" s="185">
        <v>3.6518070997817571E-2</v>
      </c>
      <c r="R17" t="s">
        <v>167</v>
      </c>
      <c r="S17" s="1" t="str">
        <f>DemTechs_INDF!Z$8</f>
        <v>CEMENTHEAT</v>
      </c>
      <c r="T17" t="s">
        <v>222</v>
      </c>
      <c r="U17" s="185">
        <v>3.6518070997817571E-2</v>
      </c>
    </row>
    <row r="18" spans="4:21" x14ac:dyDescent="0.25">
      <c r="H18" s="1" t="s">
        <v>167</v>
      </c>
      <c r="I18" s="1" t="str">
        <f>DemTechs_INDF!Z$6</f>
        <v>MANELC</v>
      </c>
      <c r="J18" s="145" t="s">
        <v>223</v>
      </c>
      <c r="K18" s="185">
        <v>4.7257353018906531E-2</v>
      </c>
      <c r="L18" s="184"/>
      <c r="M18" s="1" t="s">
        <v>167</v>
      </c>
      <c r="N18" s="1" t="str">
        <f>DemTechs_INDF!Z$5</f>
        <v>MANHEAT</v>
      </c>
      <c r="O18" s="145" t="s">
        <v>223</v>
      </c>
      <c r="P18" s="185">
        <v>4.7257353018906531E-2</v>
      </c>
      <c r="R18" s="1" t="s">
        <v>167</v>
      </c>
      <c r="S18" s="1" t="str">
        <f>DemTechs_INDF!Z$8</f>
        <v>CEMENTHEAT</v>
      </c>
      <c r="T18" s="145" t="s">
        <v>223</v>
      </c>
      <c r="U18" s="185">
        <v>4.7257353018906531E-2</v>
      </c>
    </row>
    <row r="19" spans="4:21" x14ac:dyDescent="0.25">
      <c r="H19" t="s">
        <v>167</v>
      </c>
      <c r="I19" t="str">
        <f>DemTechs_INDF!Z$6</f>
        <v>MANELC</v>
      </c>
      <c r="J19" t="s">
        <v>224</v>
      </c>
      <c r="K19" s="185">
        <v>5.6756578785819259E-2</v>
      </c>
      <c r="L19" s="184"/>
      <c r="M19" t="s">
        <v>167</v>
      </c>
      <c r="N19" s="1" t="str">
        <f>DemTechs_INDF!Z$5</f>
        <v>MANHEAT</v>
      </c>
      <c r="O19" t="s">
        <v>224</v>
      </c>
      <c r="P19" s="185">
        <v>5.6756578785819259E-2</v>
      </c>
      <c r="R19" t="s">
        <v>167</v>
      </c>
      <c r="S19" s="1" t="str">
        <f>DemTechs_INDF!Z$8</f>
        <v>CEMENTHEAT</v>
      </c>
      <c r="T19" t="s">
        <v>224</v>
      </c>
      <c r="U19" s="185">
        <v>5.6756578785819259E-2</v>
      </c>
    </row>
    <row r="20" spans="4:21" x14ac:dyDescent="0.25">
      <c r="H20" t="s">
        <v>167</v>
      </c>
      <c r="I20" t="str">
        <f>DemTechs_INDF!Z$6</f>
        <v>MANELC</v>
      </c>
      <c r="J20" t="s">
        <v>225</v>
      </c>
      <c r="K20" s="185">
        <v>5.5715023853427123E-2</v>
      </c>
      <c r="L20" s="184"/>
      <c r="M20" t="s">
        <v>167</v>
      </c>
      <c r="N20" s="1" t="str">
        <f>DemTechs_INDF!Z$5</f>
        <v>MANHEAT</v>
      </c>
      <c r="O20" t="s">
        <v>225</v>
      </c>
      <c r="P20" s="185">
        <v>5.5715023853427123E-2</v>
      </c>
      <c r="R20" t="s">
        <v>167</v>
      </c>
      <c r="S20" s="1" t="str">
        <f>DemTechs_INDF!Z$8</f>
        <v>CEMENTHEAT</v>
      </c>
      <c r="T20" t="s">
        <v>225</v>
      </c>
      <c r="U20" s="185">
        <v>5.5715023853427123E-2</v>
      </c>
    </row>
    <row r="21" spans="4:21" x14ac:dyDescent="0.25">
      <c r="H21" t="s">
        <v>167</v>
      </c>
      <c r="I21" t="str">
        <f>DemTechs_INDF!Z$6</f>
        <v>MANELC</v>
      </c>
      <c r="J21" t="s">
        <v>226</v>
      </c>
      <c r="K21" s="185">
        <v>5.6345483069498978E-2</v>
      </c>
      <c r="L21" s="184"/>
      <c r="M21" t="s">
        <v>167</v>
      </c>
      <c r="N21" s="1" t="str">
        <f>DemTechs_INDF!Z$5</f>
        <v>MANHEAT</v>
      </c>
      <c r="O21" t="s">
        <v>226</v>
      </c>
      <c r="P21" s="185">
        <v>5.6345483069498978E-2</v>
      </c>
      <c r="R21" t="s">
        <v>167</v>
      </c>
      <c r="S21" s="1" t="str">
        <f>DemTechs_INDF!Z$8</f>
        <v>CEMENTHEAT</v>
      </c>
      <c r="T21" t="s">
        <v>226</v>
      </c>
      <c r="U21" s="185">
        <v>5.6345483069498978E-2</v>
      </c>
    </row>
    <row r="22" spans="4:21" x14ac:dyDescent="0.25">
      <c r="H22" t="s">
        <v>167</v>
      </c>
      <c r="I22" t="str">
        <f>DemTechs_INDF!Z$6</f>
        <v>MANELC</v>
      </c>
      <c r="J22" t="s">
        <v>227</v>
      </c>
      <c r="K22" s="185">
        <v>4.8662133827205516E-2</v>
      </c>
      <c r="L22" s="184"/>
      <c r="M22" t="s">
        <v>167</v>
      </c>
      <c r="N22" s="1" t="str">
        <f>DemTechs_INDF!Z$5</f>
        <v>MANHEAT</v>
      </c>
      <c r="O22" t="s">
        <v>227</v>
      </c>
      <c r="P22" s="185">
        <v>4.8662133827205516E-2</v>
      </c>
      <c r="R22" t="s">
        <v>167</v>
      </c>
      <c r="S22" s="1" t="str">
        <f>DemTechs_INDF!Z$8</f>
        <v>CEMENTHEAT</v>
      </c>
      <c r="T22" t="s">
        <v>227</v>
      </c>
      <c r="U22" s="185">
        <v>4.8662133827205516E-2</v>
      </c>
    </row>
    <row r="23" spans="4:21" x14ac:dyDescent="0.25">
      <c r="H23" t="s">
        <v>167</v>
      </c>
      <c r="I23" t="str">
        <f>DemTechs_INDF!Z$6</f>
        <v>MANELC</v>
      </c>
      <c r="J23" t="s">
        <v>228</v>
      </c>
      <c r="K23" s="185">
        <v>5.0293526586567008E-2</v>
      </c>
      <c r="L23" s="184"/>
      <c r="M23" t="s">
        <v>167</v>
      </c>
      <c r="N23" s="1" t="str">
        <f>DemTechs_INDF!Z$5</f>
        <v>MANHEAT</v>
      </c>
      <c r="O23" t="s">
        <v>228</v>
      </c>
      <c r="P23" s="185">
        <v>5.0293526586567008E-2</v>
      </c>
      <c r="R23" t="s">
        <v>167</v>
      </c>
      <c r="S23" s="1" t="str">
        <f>DemTechs_INDF!Z$8</f>
        <v>CEMENTHEAT</v>
      </c>
      <c r="T23" t="s">
        <v>228</v>
      </c>
      <c r="U23" s="185">
        <v>5.0293526586567008E-2</v>
      </c>
    </row>
    <row r="24" spans="4:21" x14ac:dyDescent="0.25">
      <c r="H24" t="s">
        <v>167</v>
      </c>
      <c r="I24" t="str">
        <f>DemTechs_INDF!Z$6</f>
        <v>MANELC</v>
      </c>
      <c r="J24" t="s">
        <v>229</v>
      </c>
      <c r="K24" s="185">
        <v>5.2523087098903048E-2</v>
      </c>
      <c r="L24" s="184"/>
      <c r="M24" t="s">
        <v>167</v>
      </c>
      <c r="N24" s="1" t="str">
        <f>DemTechs_INDF!Z$5</f>
        <v>MANHEAT</v>
      </c>
      <c r="O24" t="s">
        <v>229</v>
      </c>
      <c r="P24" s="185">
        <v>5.2523087098903048E-2</v>
      </c>
      <c r="R24" t="s">
        <v>167</v>
      </c>
      <c r="S24" s="1" t="str">
        <f>DemTechs_INDF!Z$8</f>
        <v>CEMENTHEAT</v>
      </c>
      <c r="T24" t="s">
        <v>229</v>
      </c>
      <c r="U24" s="185">
        <v>5.2523087098903048E-2</v>
      </c>
    </row>
    <row r="25" spans="4:21" x14ac:dyDescent="0.25">
      <c r="H25" t="s">
        <v>167</v>
      </c>
      <c r="I25" t="str">
        <f>DemTechs_INDF!Z$6</f>
        <v>MANELC</v>
      </c>
      <c r="J25" t="s">
        <v>230</v>
      </c>
      <c r="K25" s="185">
        <v>5.4966761848993004E-2</v>
      </c>
      <c r="L25" s="184"/>
      <c r="M25" t="s">
        <v>167</v>
      </c>
      <c r="N25" s="1" t="str">
        <f>DemTechs_INDF!Z$5</f>
        <v>MANHEAT</v>
      </c>
      <c r="O25" t="s">
        <v>230</v>
      </c>
      <c r="P25" s="185">
        <v>5.4966761848993004E-2</v>
      </c>
      <c r="R25" t="s">
        <v>167</v>
      </c>
      <c r="S25" s="1" t="str">
        <f>DemTechs_INDF!Z$8</f>
        <v>CEMENTHEAT</v>
      </c>
      <c r="T25" t="s">
        <v>230</v>
      </c>
      <c r="U25" s="185">
        <v>5.4966761848993004E-2</v>
      </c>
    </row>
    <row r="26" spans="4:21" x14ac:dyDescent="0.25">
      <c r="D26" s="109"/>
      <c r="H26" t="s">
        <v>167</v>
      </c>
      <c r="I26" t="str">
        <f>DemTechs_INDF!Z$6</f>
        <v>MANELC</v>
      </c>
      <c r="J26" t="s">
        <v>231</v>
      </c>
      <c r="K26" s="185">
        <v>5.3016988893511453E-2</v>
      </c>
      <c r="L26" s="184"/>
      <c r="M26" t="s">
        <v>167</v>
      </c>
      <c r="N26" s="1" t="str">
        <f>DemTechs_INDF!Z$5</f>
        <v>MANHEAT</v>
      </c>
      <c r="O26" t="s">
        <v>231</v>
      </c>
      <c r="P26" s="185">
        <v>5.3016988893511453E-2</v>
      </c>
      <c r="R26" t="s">
        <v>167</v>
      </c>
      <c r="S26" s="1" t="str">
        <f>DemTechs_INDF!Z$8</f>
        <v>CEMENTHEAT</v>
      </c>
      <c r="T26" t="s">
        <v>231</v>
      </c>
      <c r="U26" s="185">
        <v>5.3016988893511453E-2</v>
      </c>
    </row>
    <row r="27" spans="4:21" x14ac:dyDescent="0.25">
      <c r="D27" s="109"/>
      <c r="E27" s="5"/>
      <c r="H27" t="s">
        <v>167</v>
      </c>
      <c r="I27" t="str">
        <f>DemTechs_INDF!Z$6</f>
        <v>MANELC</v>
      </c>
      <c r="J27" t="s">
        <v>232</v>
      </c>
      <c r="K27" s="185">
        <v>4.4273060594597062E-2</v>
      </c>
      <c r="L27" s="184"/>
      <c r="M27" t="s">
        <v>167</v>
      </c>
      <c r="N27" s="1" t="str">
        <f>DemTechs_INDF!Z$5</f>
        <v>MANHEAT</v>
      </c>
      <c r="O27" t="s">
        <v>232</v>
      </c>
      <c r="P27" s="185">
        <v>4.4273060594597062E-2</v>
      </c>
      <c r="R27" t="s">
        <v>167</v>
      </c>
      <c r="S27" s="1" t="str">
        <f>DemTechs_INDF!Z$8</f>
        <v>CEMENTHEAT</v>
      </c>
      <c r="T27" t="s">
        <v>232</v>
      </c>
      <c r="U27" s="185">
        <v>4.4273060594597062E-2</v>
      </c>
    </row>
    <row r="28" spans="4:21" x14ac:dyDescent="0.25">
      <c r="D28" s="109"/>
      <c r="E28" s="109"/>
      <c r="F28" s="109"/>
      <c r="H28" t="s">
        <v>167</v>
      </c>
      <c r="I28" t="str">
        <f>DemTechs_INDF!Z$6</f>
        <v>MANELC</v>
      </c>
      <c r="J28" t="s">
        <v>233</v>
      </c>
      <c r="K28" s="185">
        <v>3.6258449498494133E-2</v>
      </c>
      <c r="L28" s="184"/>
      <c r="M28" t="s">
        <v>167</v>
      </c>
      <c r="N28" s="1" t="str">
        <f>DemTechs_INDF!Z$5</f>
        <v>MANHEAT</v>
      </c>
      <c r="O28" t="s">
        <v>233</v>
      </c>
      <c r="P28" s="185">
        <v>3.6258449498494133E-2</v>
      </c>
      <c r="R28" t="s">
        <v>167</v>
      </c>
      <c r="S28" s="1" t="str">
        <f>DemTechs_INDF!Z$8</f>
        <v>CEMENTHEAT</v>
      </c>
      <c r="T28" t="s">
        <v>233</v>
      </c>
      <c r="U28" s="185">
        <v>3.6258449498494133E-2</v>
      </c>
    </row>
    <row r="29" spans="4:21" x14ac:dyDescent="0.25">
      <c r="D29" s="109"/>
      <c r="E29" s="109"/>
      <c r="F29" s="109"/>
      <c r="H29" t="s">
        <v>167</v>
      </c>
      <c r="I29" t="str">
        <f>DemTechs_INDF!Z$6</f>
        <v>MANELC</v>
      </c>
      <c r="J29" t="s">
        <v>234</v>
      </c>
      <c r="K29" s="185">
        <v>3.6040655779430726E-2</v>
      </c>
      <c r="L29" s="184"/>
      <c r="M29" t="s">
        <v>167</v>
      </c>
      <c r="N29" s="1" t="str">
        <f>DemTechs_INDF!Z$5</f>
        <v>MANHEAT</v>
      </c>
      <c r="O29" t="s">
        <v>234</v>
      </c>
      <c r="P29" s="185">
        <v>3.6040655779430726E-2</v>
      </c>
      <c r="R29" t="s">
        <v>167</v>
      </c>
      <c r="S29" s="1" t="str">
        <f>DemTechs_INDF!Z$8</f>
        <v>CEMENTHEAT</v>
      </c>
      <c r="T29" t="s">
        <v>234</v>
      </c>
      <c r="U29" s="185">
        <v>3.6040655779430726E-2</v>
      </c>
    </row>
    <row r="30" spans="4:21" x14ac:dyDescent="0.25">
      <c r="H30" s="1" t="s">
        <v>167</v>
      </c>
      <c r="I30" s="1" t="str">
        <f>DemTechs_INDF!Z$6</f>
        <v>MANELC</v>
      </c>
      <c r="J30" s="145" t="s">
        <v>235</v>
      </c>
      <c r="K30" s="185">
        <v>3.5097781406108856E-2</v>
      </c>
      <c r="L30" s="184"/>
      <c r="M30" s="1" t="s">
        <v>167</v>
      </c>
      <c r="N30" s="1" t="str">
        <f>DemTechs_INDF!Z$5</f>
        <v>MANHEAT</v>
      </c>
      <c r="O30" s="145" t="s">
        <v>235</v>
      </c>
      <c r="P30" s="185">
        <v>3.5097781406108856E-2</v>
      </c>
      <c r="R30" s="1" t="s">
        <v>167</v>
      </c>
      <c r="S30" s="1" t="str">
        <f>DemTechs_INDF!Z$8</f>
        <v>CEMENTHEAT</v>
      </c>
      <c r="T30" s="145" t="s">
        <v>235</v>
      </c>
      <c r="U30" s="185">
        <v>3.5097781406108856E-2</v>
      </c>
    </row>
    <row r="31" spans="4:21" x14ac:dyDescent="0.25">
      <c r="H31" s="1" t="s">
        <v>167</v>
      </c>
      <c r="I31" s="1" t="str">
        <f>DemTechs_INDF!Z$6</f>
        <v>MANELC</v>
      </c>
      <c r="J31" s="176" t="s">
        <v>236</v>
      </c>
      <c r="K31" s="185">
        <v>3.482493578674286E-2</v>
      </c>
      <c r="L31" s="184"/>
      <c r="M31" s="1" t="s">
        <v>167</v>
      </c>
      <c r="N31" s="1" t="str">
        <f>DemTechs_INDF!Z$5</f>
        <v>MANHEAT</v>
      </c>
      <c r="O31" s="176" t="s">
        <v>236</v>
      </c>
      <c r="P31" s="185">
        <v>3.482493578674286E-2</v>
      </c>
      <c r="R31" s="1" t="s">
        <v>167</v>
      </c>
      <c r="S31" s="1" t="str">
        <f>DemTechs_INDF!Z$8</f>
        <v>CEMENTHEAT</v>
      </c>
      <c r="T31" s="176" t="s">
        <v>236</v>
      </c>
      <c r="U31" s="185">
        <v>3.482493578674286E-2</v>
      </c>
    </row>
    <row r="32" spans="4:21" x14ac:dyDescent="0.25">
      <c r="E32" s="5"/>
      <c r="H32" s="1" t="s">
        <v>167</v>
      </c>
      <c r="I32" s="1" t="str">
        <f>DemTechs_INDF!Z$6</f>
        <v>MANELC</v>
      </c>
      <c r="J32" s="145" t="s">
        <v>237</v>
      </c>
      <c r="K32" s="185">
        <v>3.2564766705734945E-2</v>
      </c>
      <c r="L32" s="184"/>
      <c r="M32" s="1" t="s">
        <v>167</v>
      </c>
      <c r="N32" s="1" t="str">
        <f>DemTechs_INDF!Z$5</f>
        <v>MANHEAT</v>
      </c>
      <c r="O32" s="145" t="s">
        <v>237</v>
      </c>
      <c r="P32" s="185">
        <v>3.2564766705734945E-2</v>
      </c>
      <c r="R32" s="1" t="s">
        <v>167</v>
      </c>
      <c r="S32" s="1" t="str">
        <f>DemTechs_INDF!Z$8</f>
        <v>CEMENTHEAT</v>
      </c>
      <c r="T32" s="145" t="s">
        <v>237</v>
      </c>
      <c r="U32" s="185">
        <v>3.2564766705734945E-2</v>
      </c>
    </row>
    <row r="33" spans="2:21" x14ac:dyDescent="0.25">
      <c r="B33" s="1"/>
      <c r="E33" s="5"/>
      <c r="H33" s="1" t="s">
        <v>167</v>
      </c>
      <c r="I33" s="1" t="str">
        <f>DemTechs_INDF!Z$6</f>
        <v>MANELC</v>
      </c>
      <c r="J33" s="176" t="s">
        <v>238</v>
      </c>
      <c r="K33" s="185">
        <v>3.3680163206659841E-2</v>
      </c>
      <c r="L33" s="184"/>
      <c r="M33" s="1" t="s">
        <v>167</v>
      </c>
      <c r="N33" s="1" t="str">
        <f>DemTechs_INDF!Z$5</f>
        <v>MANHEAT</v>
      </c>
      <c r="O33" s="176" t="s">
        <v>238</v>
      </c>
      <c r="P33" s="185">
        <v>3.3680163206659841E-2</v>
      </c>
      <c r="R33" s="1" t="s">
        <v>167</v>
      </c>
      <c r="S33" s="1" t="str">
        <f>DemTechs_INDF!Z$8</f>
        <v>CEMENTHEAT</v>
      </c>
      <c r="T33" s="176" t="s">
        <v>238</v>
      </c>
      <c r="U33" s="185">
        <v>3.3680163206659841E-2</v>
      </c>
    </row>
    <row r="34" spans="2:21" x14ac:dyDescent="0.25">
      <c r="B34" s="1"/>
      <c r="H34" s="1" t="s">
        <v>167</v>
      </c>
      <c r="I34" s="1" t="str">
        <f>DemTechs_INDF!Z$6</f>
        <v>MANELC</v>
      </c>
      <c r="J34" t="s">
        <v>168</v>
      </c>
      <c r="K34" s="185">
        <v>3.0835149280259575E-2</v>
      </c>
      <c r="M34" s="1" t="s">
        <v>167</v>
      </c>
      <c r="N34" s="1" t="str">
        <f>DemTechs_INDF!Z$5</f>
        <v>MANHEAT</v>
      </c>
      <c r="O34" t="s">
        <v>168</v>
      </c>
      <c r="P34" s="185">
        <v>3.0835149280259575E-2</v>
      </c>
      <c r="R34" s="1" t="s">
        <v>167</v>
      </c>
      <c r="S34" s="1" t="str">
        <f>DemTechs_INDF!Z$8</f>
        <v>CEMENTHEAT</v>
      </c>
      <c r="T34" t="s">
        <v>168</v>
      </c>
      <c r="U34" s="185">
        <v>3.0835149280259575E-2</v>
      </c>
    </row>
    <row r="35" spans="2:21" x14ac:dyDescent="0.25">
      <c r="H35" s="1" t="s">
        <v>167</v>
      </c>
      <c r="I35" s="1" t="str">
        <f>DemTechs_INDF!Z$6</f>
        <v>MANELC</v>
      </c>
      <c r="J35" t="s">
        <v>169</v>
      </c>
      <c r="K35" s="185">
        <v>3.1306102192535441E-2</v>
      </c>
      <c r="M35" s="1" t="s">
        <v>167</v>
      </c>
      <c r="N35" s="1" t="str">
        <f>DemTechs_INDF!Z$5</f>
        <v>MANHEAT</v>
      </c>
      <c r="O35" t="s">
        <v>169</v>
      </c>
      <c r="P35" s="185">
        <v>3.1306102192535441E-2</v>
      </c>
      <c r="R35" s="1" t="s">
        <v>167</v>
      </c>
      <c r="S35" s="1" t="str">
        <f>DemTechs_INDF!Z$8</f>
        <v>CEMENTHEAT</v>
      </c>
      <c r="T35" t="s">
        <v>169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167</v>
      </c>
      <c r="I36" s="1" t="str">
        <f>DemTechs_INDF!Z$6</f>
        <v>MANELC</v>
      </c>
      <c r="J36" t="s">
        <v>170</v>
      </c>
      <c r="K36" s="185">
        <v>3.0732055812390149E-2</v>
      </c>
      <c r="M36" s="1" t="s">
        <v>167</v>
      </c>
      <c r="N36" s="1" t="str">
        <f>DemTechs_INDF!Z$5</f>
        <v>MANHEAT</v>
      </c>
      <c r="O36" t="s">
        <v>170</v>
      </c>
      <c r="P36" s="185">
        <v>3.0732055812390149E-2</v>
      </c>
      <c r="R36" s="1" t="s">
        <v>167</v>
      </c>
      <c r="S36" s="1" t="str">
        <f>DemTechs_INDF!Z$8</f>
        <v>CEMENTHEAT</v>
      </c>
      <c r="T36" t="s">
        <v>170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167</v>
      </c>
      <c r="I37" s="1" t="str">
        <f>DemTechs_INDF!Z$6</f>
        <v>MANELC</v>
      </c>
      <c r="J37" t="s">
        <v>171</v>
      </c>
      <c r="K37" s="185">
        <v>3.1026498894933252E-2</v>
      </c>
      <c r="M37" s="1" t="s">
        <v>167</v>
      </c>
      <c r="N37" s="1" t="str">
        <f>DemTechs_INDF!Z$5</f>
        <v>MANHEAT</v>
      </c>
      <c r="O37" t="s">
        <v>171</v>
      </c>
      <c r="P37" s="185">
        <v>3.1026498894933252E-2</v>
      </c>
      <c r="R37" s="1" t="s">
        <v>167</v>
      </c>
      <c r="S37" s="1" t="str">
        <f>DemTechs_INDF!Z$8</f>
        <v>CEMENTHEAT</v>
      </c>
      <c r="T37" t="s">
        <v>171</v>
      </c>
      <c r="U37" s="185">
        <v>3.1026498894933252E-2</v>
      </c>
    </row>
    <row r="38" spans="2:21" x14ac:dyDescent="0.25">
      <c r="H38" s="1" t="s">
        <v>167</v>
      </c>
      <c r="I38" s="1" t="str">
        <f>DemTechs_INDF!Z$6</f>
        <v>MANELC</v>
      </c>
      <c r="J38" t="s">
        <v>172</v>
      </c>
      <c r="K38" s="185">
        <v>3.1056840848101456E-2</v>
      </c>
      <c r="M38" s="1" t="s">
        <v>167</v>
      </c>
      <c r="N38" s="1" t="str">
        <f>DemTechs_INDF!Z$5</f>
        <v>MANHEAT</v>
      </c>
      <c r="O38" t="s">
        <v>172</v>
      </c>
      <c r="P38" s="185">
        <v>3.1056840848101456E-2</v>
      </c>
      <c r="R38" s="1" t="s">
        <v>167</v>
      </c>
      <c r="S38" s="1" t="str">
        <f>DemTechs_INDF!Z$8</f>
        <v>CEMENTHEAT</v>
      </c>
      <c r="T38" t="s">
        <v>172</v>
      </c>
      <c r="U38" s="185">
        <v>3.1056840848101456E-2</v>
      </c>
    </row>
    <row r="39" spans="2:21" x14ac:dyDescent="0.25">
      <c r="H39" s="1" t="s">
        <v>167</v>
      </c>
      <c r="I39" s="1" t="str">
        <f>DemTechs_INDF!Z$6</f>
        <v>MANELC</v>
      </c>
      <c r="J39" t="s">
        <v>173</v>
      </c>
      <c r="K39" s="185">
        <v>3.1761574865503496E-2</v>
      </c>
      <c r="M39" s="1" t="s">
        <v>167</v>
      </c>
      <c r="N39" s="1" t="str">
        <f>DemTechs_INDF!Z$5</f>
        <v>MANHEAT</v>
      </c>
      <c r="O39" t="s">
        <v>173</v>
      </c>
      <c r="P39" s="185">
        <v>3.1761574865503496E-2</v>
      </c>
      <c r="R39" s="1" t="s">
        <v>167</v>
      </c>
      <c r="S39" s="1" t="str">
        <f>DemTechs_INDF!Z$8</f>
        <v>CEMENTHEAT</v>
      </c>
      <c r="T39" t="s">
        <v>173</v>
      </c>
      <c r="U39" s="185">
        <v>3.1761574865503496E-2</v>
      </c>
    </row>
    <row r="40" spans="2:21" x14ac:dyDescent="0.25">
      <c r="H40" s="1" t="s">
        <v>167</v>
      </c>
      <c r="I40" s="1" t="str">
        <f>DemTechs_INDF!Z$6</f>
        <v>MANELC</v>
      </c>
      <c r="J40" t="s">
        <v>174</v>
      </c>
      <c r="K40" s="185">
        <v>3.2141299558210122E-2</v>
      </c>
      <c r="M40" s="1" t="s">
        <v>167</v>
      </c>
      <c r="N40" s="1" t="str">
        <f>DemTechs_INDF!Z$5</f>
        <v>MANHEAT</v>
      </c>
      <c r="O40" t="s">
        <v>174</v>
      </c>
      <c r="P40" s="185">
        <v>3.2141299558210122E-2</v>
      </c>
      <c r="R40" s="1" t="s">
        <v>167</v>
      </c>
      <c r="S40" s="1" t="str">
        <f>DemTechs_INDF!Z$8</f>
        <v>CEMENTHEAT</v>
      </c>
      <c r="T40" t="s">
        <v>174</v>
      </c>
      <c r="U40" s="185">
        <v>3.2141299558210122E-2</v>
      </c>
    </row>
    <row r="41" spans="2:21" x14ac:dyDescent="0.25">
      <c r="H41" s="1" t="s">
        <v>167</v>
      </c>
      <c r="I41" s="1" t="str">
        <f>DemTechs_INDF!Z$6</f>
        <v>MANELC</v>
      </c>
      <c r="J41" t="s">
        <v>175</v>
      </c>
      <c r="K41" s="185">
        <v>3.5213642686520726E-2</v>
      </c>
      <c r="M41" s="1" t="s">
        <v>167</v>
      </c>
      <c r="N41" s="1" t="str">
        <f>DemTechs_INDF!Z$5</f>
        <v>MANHEAT</v>
      </c>
      <c r="O41" t="s">
        <v>175</v>
      </c>
      <c r="P41" s="185">
        <v>3.5213642686520726E-2</v>
      </c>
      <c r="R41" s="1" t="s">
        <v>167</v>
      </c>
      <c r="S41" s="1" t="str">
        <f>DemTechs_INDF!Z$8</f>
        <v>CEMENTHEAT</v>
      </c>
      <c r="T41" t="s">
        <v>175</v>
      </c>
      <c r="U41" s="185">
        <v>3.5213642686520726E-2</v>
      </c>
    </row>
    <row r="42" spans="2:21" x14ac:dyDescent="0.25">
      <c r="H42" s="1" t="s">
        <v>167</v>
      </c>
      <c r="I42" s="1" t="str">
        <f>DemTechs_INDF!Z$6</f>
        <v>MANELC</v>
      </c>
      <c r="J42" t="s">
        <v>176</v>
      </c>
      <c r="K42" s="185">
        <v>5.1117433203485711E-2</v>
      </c>
      <c r="M42" s="1" t="s">
        <v>167</v>
      </c>
      <c r="N42" s="1" t="str">
        <f>DemTechs_INDF!Z$5</f>
        <v>MANHEAT</v>
      </c>
      <c r="O42" t="s">
        <v>176</v>
      </c>
      <c r="P42" s="185">
        <v>5.1117433203485711E-2</v>
      </c>
      <c r="R42" s="1" t="s">
        <v>167</v>
      </c>
      <c r="S42" s="1" t="str">
        <f>DemTechs_INDF!Z$8</f>
        <v>CEMENTHEAT</v>
      </c>
      <c r="T42" t="s">
        <v>176</v>
      </c>
      <c r="U42" s="185">
        <v>5.1117433203485711E-2</v>
      </c>
    </row>
    <row r="43" spans="2:21" x14ac:dyDescent="0.25">
      <c r="H43" s="1" t="s">
        <v>167</v>
      </c>
      <c r="I43" s="1" t="str">
        <f>DemTechs_INDF!Z$6</f>
        <v>MANELC</v>
      </c>
      <c r="J43" t="s">
        <v>177</v>
      </c>
      <c r="K43" s="185">
        <v>6.2773677380098022E-2</v>
      </c>
      <c r="M43" s="1" t="s">
        <v>167</v>
      </c>
      <c r="N43" s="1" t="str">
        <f>DemTechs_INDF!Z$5</f>
        <v>MANHEAT</v>
      </c>
      <c r="O43" t="s">
        <v>177</v>
      </c>
      <c r="P43" s="185">
        <v>6.2773677380098022E-2</v>
      </c>
      <c r="R43" s="1" t="s">
        <v>167</v>
      </c>
      <c r="S43" s="1" t="str">
        <f>DemTechs_INDF!Z$8</f>
        <v>CEMENTHEAT</v>
      </c>
      <c r="T43" t="s">
        <v>177</v>
      </c>
      <c r="U43" s="185">
        <v>6.2773677380098022E-2</v>
      </c>
    </row>
    <row r="44" spans="2:21" x14ac:dyDescent="0.25">
      <c r="H44" s="1" t="s">
        <v>167</v>
      </c>
      <c r="I44" s="1" t="str">
        <f>DemTechs_INDF!Z$6</f>
        <v>MANELC</v>
      </c>
      <c r="J44" t="s">
        <v>178</v>
      </c>
      <c r="K44" s="185">
        <v>6.1766758236552227E-2</v>
      </c>
      <c r="M44" s="1" t="s">
        <v>167</v>
      </c>
      <c r="N44" s="1" t="str">
        <f>DemTechs_INDF!Z$5</f>
        <v>MANHEAT</v>
      </c>
      <c r="O44" t="s">
        <v>178</v>
      </c>
      <c r="P44" s="185">
        <v>6.1766758236552227E-2</v>
      </c>
      <c r="R44" s="1" t="s">
        <v>167</v>
      </c>
      <c r="S44" s="1" t="str">
        <f>DemTechs_INDF!Z$8</f>
        <v>CEMENTHEAT</v>
      </c>
      <c r="T44" t="s">
        <v>178</v>
      </c>
      <c r="U44" s="185">
        <v>6.1766758236552227E-2</v>
      </c>
    </row>
    <row r="45" spans="2:21" x14ac:dyDescent="0.25">
      <c r="H45" s="1" t="s">
        <v>167</v>
      </c>
      <c r="I45" s="1" t="str">
        <f>DemTechs_INDF!Z$6</f>
        <v>MANELC</v>
      </c>
      <c r="J45" t="s">
        <v>179</v>
      </c>
      <c r="K45" s="185">
        <v>6.4177423190962854E-2</v>
      </c>
      <c r="M45" s="1" t="s">
        <v>167</v>
      </c>
      <c r="N45" s="1" t="str">
        <f>DemTechs_INDF!Z$5</f>
        <v>MANHEAT</v>
      </c>
      <c r="O45" t="s">
        <v>179</v>
      </c>
      <c r="P45" s="185">
        <v>6.4177423190962854E-2</v>
      </c>
      <c r="R45" s="1" t="s">
        <v>167</v>
      </c>
      <c r="S45" s="1" t="str">
        <f>DemTechs_INDF!Z$8</f>
        <v>CEMENTHEAT</v>
      </c>
      <c r="T45" t="s">
        <v>179</v>
      </c>
      <c r="U45" s="185">
        <v>6.4177423190962854E-2</v>
      </c>
    </row>
    <row r="46" spans="2:21" x14ac:dyDescent="0.25">
      <c r="H46" s="1" t="s">
        <v>167</v>
      </c>
      <c r="I46" s="1" t="str">
        <f>DemTechs_INDF!Z$6</f>
        <v>MANELC</v>
      </c>
      <c r="J46" t="s">
        <v>180</v>
      </c>
      <c r="K46" s="185">
        <v>5.0829723942040425E-2</v>
      </c>
      <c r="M46" s="1" t="s">
        <v>167</v>
      </c>
      <c r="N46" s="1" t="str">
        <f>DemTechs_INDF!Z$5</f>
        <v>MANHEAT</v>
      </c>
      <c r="O46" t="s">
        <v>180</v>
      </c>
      <c r="P46" s="185">
        <v>5.0829723942040425E-2</v>
      </c>
      <c r="R46" s="1" t="s">
        <v>167</v>
      </c>
      <c r="S46" s="1" t="str">
        <f>DemTechs_INDF!Z$8</f>
        <v>CEMENTHEAT</v>
      </c>
      <c r="T46" t="s">
        <v>180</v>
      </c>
      <c r="U46" s="185">
        <v>5.0829723942040425E-2</v>
      </c>
    </row>
    <row r="47" spans="2:21" x14ac:dyDescent="0.25">
      <c r="H47" s="1" t="s">
        <v>167</v>
      </c>
      <c r="I47" s="1" t="str">
        <f>DemTechs_INDF!Z$6</f>
        <v>MANELC</v>
      </c>
      <c r="J47" t="s">
        <v>181</v>
      </c>
      <c r="K47" s="185">
        <v>5.4268458827148723E-2</v>
      </c>
      <c r="M47" s="1" t="s">
        <v>167</v>
      </c>
      <c r="N47" s="1" t="str">
        <f>DemTechs_INDF!Z$5</f>
        <v>MANHEAT</v>
      </c>
      <c r="O47" t="s">
        <v>181</v>
      </c>
      <c r="P47" s="185">
        <v>5.4268458827148723E-2</v>
      </c>
      <c r="R47" s="1" t="s">
        <v>167</v>
      </c>
      <c r="S47" s="1" t="str">
        <f>DemTechs_INDF!Z$8</f>
        <v>CEMENTHEAT</v>
      </c>
      <c r="T47" t="s">
        <v>181</v>
      </c>
      <c r="U47" s="185">
        <v>5.4268458827148723E-2</v>
      </c>
    </row>
    <row r="48" spans="2:21" x14ac:dyDescent="0.25">
      <c r="H48" s="1" t="s">
        <v>167</v>
      </c>
      <c r="I48" s="1" t="str">
        <f>DemTechs_INDF!Z$6</f>
        <v>MANELC</v>
      </c>
      <c r="J48" t="s">
        <v>182</v>
      </c>
      <c r="K48" s="185">
        <v>5.9589636409466136E-2</v>
      </c>
      <c r="M48" s="1" t="s">
        <v>167</v>
      </c>
      <c r="N48" s="1" t="str">
        <f>DemTechs_INDF!Z$5</f>
        <v>MANHEAT</v>
      </c>
      <c r="O48" t="s">
        <v>182</v>
      </c>
      <c r="P48" s="185">
        <v>5.9589636409466136E-2</v>
      </c>
      <c r="R48" s="1" t="s">
        <v>167</v>
      </c>
      <c r="S48" s="1" t="str">
        <f>DemTechs_INDF!Z$8</f>
        <v>CEMENTHEAT</v>
      </c>
      <c r="T48" t="s">
        <v>182</v>
      </c>
      <c r="U48" s="185">
        <v>5.9589636409466136E-2</v>
      </c>
    </row>
    <row r="49" spans="8:21" x14ac:dyDescent="0.25">
      <c r="H49" s="1" t="s">
        <v>167</v>
      </c>
      <c r="I49" s="1" t="str">
        <f>DemTechs_INDF!Z$6</f>
        <v>MANELC</v>
      </c>
      <c r="J49" t="s">
        <v>183</v>
      </c>
      <c r="K49" s="185">
        <v>5.9904363990350699E-2</v>
      </c>
      <c r="M49" s="1" t="s">
        <v>167</v>
      </c>
      <c r="N49" s="1" t="str">
        <f>DemTechs_INDF!Z$5</f>
        <v>MANHEAT</v>
      </c>
      <c r="O49" t="s">
        <v>183</v>
      </c>
      <c r="P49" s="185">
        <v>5.9904363990350699E-2</v>
      </c>
      <c r="R49" s="1" t="s">
        <v>167</v>
      </c>
      <c r="S49" s="1" t="str">
        <f>DemTechs_INDF!Z$8</f>
        <v>CEMENTHEAT</v>
      </c>
      <c r="T49" t="s">
        <v>183</v>
      </c>
      <c r="U49" s="185">
        <v>5.9904363990350699E-2</v>
      </c>
    </row>
    <row r="50" spans="8:21" x14ac:dyDescent="0.25">
      <c r="H50" s="1" t="s">
        <v>167</v>
      </c>
      <c r="I50" s="1" t="str">
        <f>DemTechs_INDF!Z$6</f>
        <v>MANELC</v>
      </c>
      <c r="J50" t="s">
        <v>184</v>
      </c>
      <c r="K50" s="185">
        <v>5.4602121019645386E-2</v>
      </c>
      <c r="M50" s="1" t="s">
        <v>167</v>
      </c>
      <c r="N50" s="1" t="str">
        <f>DemTechs_INDF!Z$5</f>
        <v>MANHEAT</v>
      </c>
      <c r="O50" t="s">
        <v>184</v>
      </c>
      <c r="P50" s="185">
        <v>5.4602121019645386E-2</v>
      </c>
      <c r="R50" s="1" t="s">
        <v>167</v>
      </c>
      <c r="S50" s="1" t="str">
        <f>DemTechs_INDF!Z$8</f>
        <v>CEMENTHEAT</v>
      </c>
      <c r="T50" t="s">
        <v>184</v>
      </c>
      <c r="U50" s="185">
        <v>5.4602121019645386E-2</v>
      </c>
    </row>
    <row r="51" spans="8:21" x14ac:dyDescent="0.25">
      <c r="H51" s="1" t="s">
        <v>167</v>
      </c>
      <c r="I51" s="1" t="str">
        <f>DemTechs_INDF!Z$6</f>
        <v>MANELC</v>
      </c>
      <c r="J51" t="s">
        <v>185</v>
      </c>
      <c r="K51" s="185">
        <v>4.095098396869809E-2</v>
      </c>
      <c r="M51" s="1" t="s">
        <v>167</v>
      </c>
      <c r="N51" s="1" t="str">
        <f>DemTechs_INDF!Z$5</f>
        <v>MANHEAT</v>
      </c>
      <c r="O51" t="s">
        <v>185</v>
      </c>
      <c r="P51" s="185">
        <v>4.095098396869809E-2</v>
      </c>
      <c r="R51" s="1" t="s">
        <v>167</v>
      </c>
      <c r="S51" s="1" t="str">
        <f>DemTechs_INDF!Z$8</f>
        <v>CEMENTHEAT</v>
      </c>
      <c r="T51" t="s">
        <v>185</v>
      </c>
      <c r="U51" s="185">
        <v>4.095098396869809E-2</v>
      </c>
    </row>
    <row r="52" spans="8:21" x14ac:dyDescent="0.25">
      <c r="H52" s="1" t="s">
        <v>167</v>
      </c>
      <c r="I52" s="1" t="str">
        <f>DemTechs_INDF!Z$6</f>
        <v>MANELC</v>
      </c>
      <c r="J52" t="s">
        <v>186</v>
      </c>
      <c r="K52" s="185">
        <v>3.2728922255458537E-2</v>
      </c>
      <c r="M52" s="1" t="s">
        <v>167</v>
      </c>
      <c r="N52" s="1" t="str">
        <f>DemTechs_INDF!Z$5</f>
        <v>MANHEAT</v>
      </c>
      <c r="O52" t="s">
        <v>186</v>
      </c>
      <c r="P52" s="185">
        <v>3.2728922255458537E-2</v>
      </c>
      <c r="R52" s="1" t="s">
        <v>167</v>
      </c>
      <c r="S52" s="1" t="str">
        <f>DemTechs_INDF!Z$8</f>
        <v>CEMENTHEAT</v>
      </c>
      <c r="T52" t="s">
        <v>186</v>
      </c>
      <c r="U52" s="185">
        <v>3.2728922255458537E-2</v>
      </c>
    </row>
    <row r="53" spans="8:21" x14ac:dyDescent="0.25">
      <c r="H53" s="1" t="s">
        <v>167</v>
      </c>
      <c r="I53" s="1" t="str">
        <f>DemTechs_INDF!Z$6</f>
        <v>MANELC</v>
      </c>
      <c r="J53" t="s">
        <v>187</v>
      </c>
      <c r="K53" s="185">
        <v>3.1731181617130018E-2</v>
      </c>
      <c r="M53" s="1" t="s">
        <v>167</v>
      </c>
      <c r="N53" s="1" t="str">
        <f>DemTechs_INDF!Z$5</f>
        <v>MANHEAT</v>
      </c>
      <c r="O53" t="s">
        <v>187</v>
      </c>
      <c r="P53" s="185">
        <v>3.1731181617130018E-2</v>
      </c>
      <c r="R53" s="1" t="s">
        <v>167</v>
      </c>
      <c r="S53" s="1" t="str">
        <f>DemTechs_INDF!Z$8</f>
        <v>CEMENTHEAT</v>
      </c>
      <c r="T53" t="s">
        <v>187</v>
      </c>
      <c r="U53" s="185">
        <v>3.1731181617130018E-2</v>
      </c>
    </row>
    <row r="54" spans="8:21" x14ac:dyDescent="0.25">
      <c r="H54" s="1" t="s">
        <v>167</v>
      </c>
      <c r="I54" s="1" t="str">
        <f>DemTechs_INDF!Z$6</f>
        <v>MANELC</v>
      </c>
      <c r="J54" t="s">
        <v>188</v>
      </c>
      <c r="K54" s="185">
        <v>3.0924439128636003E-2</v>
      </c>
      <c r="M54" s="1" t="s">
        <v>167</v>
      </c>
      <c r="N54" s="1" t="str">
        <f>DemTechs_INDF!Z$5</f>
        <v>MANHEAT</v>
      </c>
      <c r="O54" t="s">
        <v>188</v>
      </c>
      <c r="P54" s="185">
        <v>3.0924439128636003E-2</v>
      </c>
      <c r="R54" s="1" t="s">
        <v>167</v>
      </c>
      <c r="S54" s="1" t="str">
        <f>DemTechs_INDF!Z$8</f>
        <v>CEMENTHEAT</v>
      </c>
      <c r="T54" t="s">
        <v>188</v>
      </c>
      <c r="U54" s="185">
        <v>3.0924439128636003E-2</v>
      </c>
    </row>
    <row r="55" spans="8:21" x14ac:dyDescent="0.25">
      <c r="H55" s="1" t="s">
        <v>167</v>
      </c>
      <c r="I55" s="1" t="str">
        <f>DemTechs_INDF!Z$6</f>
        <v>MANELC</v>
      </c>
      <c r="J55" t="s">
        <v>189</v>
      </c>
      <c r="K55" s="185">
        <v>3.0529213441903326E-2</v>
      </c>
      <c r="M55" s="1" t="s">
        <v>167</v>
      </c>
      <c r="N55" s="1" t="str">
        <f>DemTechs_INDF!Z$5</f>
        <v>MANHEAT</v>
      </c>
      <c r="O55" t="s">
        <v>189</v>
      </c>
      <c r="P55" s="185">
        <v>3.0529213441903326E-2</v>
      </c>
      <c r="R55" s="1" t="s">
        <v>167</v>
      </c>
      <c r="S55" s="1" t="str">
        <f>DemTechs_INDF!Z$8</f>
        <v>CEMENTHEAT</v>
      </c>
      <c r="T55" t="s">
        <v>189</v>
      </c>
      <c r="U55" s="185">
        <v>3.0529213441903326E-2</v>
      </c>
    </row>
    <row r="56" spans="8:21" x14ac:dyDescent="0.25">
      <c r="H56" s="1" t="s">
        <v>167</v>
      </c>
      <c r="I56" s="1" t="str">
        <f>DemTechs_INDF!Z$6</f>
        <v>MANELC</v>
      </c>
      <c r="J56" t="s">
        <v>190</v>
      </c>
      <c r="K56" s="185">
        <v>2.9792391830107463E-2</v>
      </c>
      <c r="M56" s="1" t="s">
        <v>167</v>
      </c>
      <c r="N56" s="1" t="str">
        <f>DemTechs_INDF!Z$5</f>
        <v>MANHEAT</v>
      </c>
      <c r="O56" t="s">
        <v>190</v>
      </c>
      <c r="P56" s="185">
        <v>2.9792391830107463E-2</v>
      </c>
      <c r="R56" s="1" t="s">
        <v>167</v>
      </c>
      <c r="S56" s="1" t="str">
        <f>DemTechs_INDF!Z$8</f>
        <v>CEMENTHEAT</v>
      </c>
      <c r="T56" t="s">
        <v>190</v>
      </c>
      <c r="U56" s="185">
        <v>2.9792391830107463E-2</v>
      </c>
    </row>
    <row r="57" spans="8:21" x14ac:dyDescent="0.25">
      <c r="H57" s="1" t="s">
        <v>167</v>
      </c>
      <c r="I57" s="1" t="str">
        <f>DemTechs_INDF!Z$6</f>
        <v>MANELC</v>
      </c>
      <c r="J57" t="s">
        <v>191</v>
      </c>
      <c r="K57" s="185">
        <v>3.0240107419862172E-2</v>
      </c>
      <c r="M57" s="1" t="s">
        <v>167</v>
      </c>
      <c r="N57" s="1" t="str">
        <f>DemTechs_INDF!Z$5</f>
        <v>MANHEAT</v>
      </c>
      <c r="O57" t="s">
        <v>191</v>
      </c>
      <c r="P57" s="185">
        <v>3.0240107419862172E-2</v>
      </c>
      <c r="R57" s="1" t="s">
        <v>167</v>
      </c>
      <c r="S57" s="1" t="str">
        <f>DemTechs_INDF!Z$8</f>
        <v>CEMENTHEAT</v>
      </c>
      <c r="T57" t="s">
        <v>191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topLeftCell="A8" workbookViewId="0">
      <selection activeCell="J16" sqref="J16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194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195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196</v>
      </c>
      <c r="D7" s="127" t="s">
        <v>196</v>
      </c>
      <c r="E7" s="127" t="s">
        <v>196</v>
      </c>
      <c r="F7" s="127" t="s">
        <v>196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2026-02-19T14:10:49Z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