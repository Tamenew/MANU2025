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\IND001\MANU2025\"/>
    </mc:Choice>
  </mc:AlternateContent>
  <xr:revisionPtr revIDLastSave="0" documentId="13_ncr:1_{BFD3293B-38F3-4184-AD11-7C0EF31032B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BF TJ" sheetId="144" r:id="rId1"/>
    <sheet name="EBF" sheetId="133" r:id="rId2"/>
    <sheet name="PRI_Sector_Fuels" sheetId="137" r:id="rId3"/>
    <sheet name="DemTechs_INDF" sheetId="143" r:id="rId4"/>
    <sheet name="Demands" sheetId="145" r:id="rId5"/>
    <sheet name="Emi" sheetId="146" r:id="rId6"/>
  </sheets>
  <definedNames>
    <definedName name="FID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43" l="1"/>
  <c r="D26" i="143"/>
  <c r="C26" i="143"/>
  <c r="B26" i="143"/>
  <c r="D26" i="137" l="1"/>
  <c r="I10" i="145"/>
  <c r="I11" i="145"/>
  <c r="I12" i="145"/>
  <c r="I13" i="145"/>
  <c r="I14" i="145"/>
  <c r="I15" i="145"/>
  <c r="I16" i="145"/>
  <c r="I17" i="145"/>
  <c r="I18" i="145"/>
  <c r="I19" i="145"/>
  <c r="I20" i="145"/>
  <c r="I21" i="145"/>
  <c r="I22" i="145"/>
  <c r="I23" i="145"/>
  <c r="I24" i="145"/>
  <c r="I25" i="145"/>
  <c r="I26" i="145"/>
  <c r="I27" i="145"/>
  <c r="I28" i="145"/>
  <c r="I29" i="145"/>
  <c r="I30" i="145"/>
  <c r="I31" i="145"/>
  <c r="I32" i="145"/>
  <c r="I33" i="145"/>
  <c r="I34" i="145"/>
  <c r="I35" i="145"/>
  <c r="I36" i="145"/>
  <c r="I37" i="145"/>
  <c r="I38" i="145"/>
  <c r="I39" i="145"/>
  <c r="I40" i="145"/>
  <c r="I41" i="145"/>
  <c r="I42" i="145"/>
  <c r="I43" i="145"/>
  <c r="I44" i="145"/>
  <c r="I45" i="145"/>
  <c r="I46" i="145"/>
  <c r="I47" i="145"/>
  <c r="I48" i="145"/>
  <c r="I49" i="145"/>
  <c r="I50" i="145"/>
  <c r="I51" i="145"/>
  <c r="I52" i="145"/>
  <c r="I53" i="145"/>
  <c r="I54" i="145"/>
  <c r="I55" i="145"/>
  <c r="I56" i="145"/>
  <c r="I57" i="145"/>
  <c r="N10" i="145"/>
  <c r="N11" i="145"/>
  <c r="N12" i="145"/>
  <c r="N13" i="145"/>
  <c r="N14" i="145"/>
  <c r="N15" i="145"/>
  <c r="N16" i="145"/>
  <c r="N17" i="145"/>
  <c r="N18" i="145"/>
  <c r="N19" i="145"/>
  <c r="N20" i="145"/>
  <c r="N21" i="145"/>
  <c r="N22" i="145"/>
  <c r="N23" i="145"/>
  <c r="N24" i="145"/>
  <c r="N25" i="145"/>
  <c r="N26" i="145"/>
  <c r="N27" i="145"/>
  <c r="N28" i="145"/>
  <c r="N29" i="145"/>
  <c r="N30" i="145"/>
  <c r="N31" i="145"/>
  <c r="N32" i="145"/>
  <c r="N33" i="145"/>
  <c r="N34" i="145"/>
  <c r="N35" i="145"/>
  <c r="N36" i="145"/>
  <c r="N37" i="145"/>
  <c r="N38" i="145"/>
  <c r="N39" i="145"/>
  <c r="N40" i="145"/>
  <c r="N41" i="145"/>
  <c r="N42" i="145"/>
  <c r="N43" i="145"/>
  <c r="N44" i="145"/>
  <c r="N45" i="145"/>
  <c r="N46" i="145"/>
  <c r="N47" i="145"/>
  <c r="N48" i="145"/>
  <c r="N49" i="145"/>
  <c r="N50" i="145"/>
  <c r="N51" i="145"/>
  <c r="N52" i="145"/>
  <c r="N53" i="145"/>
  <c r="N54" i="145"/>
  <c r="N55" i="145"/>
  <c r="N56" i="145"/>
  <c r="N57" i="145"/>
  <c r="E9" i="145"/>
  <c r="E10" i="145"/>
  <c r="S10" i="145"/>
  <c r="E11" i="145"/>
  <c r="S11" i="145"/>
  <c r="S12" i="145"/>
  <c r="S13" i="145"/>
  <c r="S14" i="145"/>
  <c r="S15" i="145"/>
  <c r="S16" i="145"/>
  <c r="S17" i="145"/>
  <c r="S18" i="145"/>
  <c r="S19" i="145"/>
  <c r="S20" i="145"/>
  <c r="S21" i="145"/>
  <c r="S22" i="145"/>
  <c r="S23" i="145"/>
  <c r="S24" i="145"/>
  <c r="S25" i="145"/>
  <c r="S26" i="145"/>
  <c r="S27" i="145"/>
  <c r="S28" i="145"/>
  <c r="S29" i="145"/>
  <c r="S30" i="145"/>
  <c r="S31" i="145"/>
  <c r="S32" i="145"/>
  <c r="S33" i="145"/>
  <c r="S34" i="145"/>
  <c r="S35" i="145"/>
  <c r="S36" i="145"/>
  <c r="S37" i="145"/>
  <c r="S38" i="145"/>
  <c r="S39" i="145"/>
  <c r="S40" i="145"/>
  <c r="S41" i="145"/>
  <c r="S42" i="145"/>
  <c r="S43" i="145"/>
  <c r="S44" i="145"/>
  <c r="S45" i="145"/>
  <c r="S46" i="145"/>
  <c r="S47" i="145"/>
  <c r="S48" i="145"/>
  <c r="S49" i="145"/>
  <c r="S50" i="145"/>
  <c r="S51" i="145"/>
  <c r="S52" i="145"/>
  <c r="S53" i="145"/>
  <c r="S54" i="145"/>
  <c r="S55" i="145"/>
  <c r="S56" i="145"/>
  <c r="S57" i="145"/>
  <c r="L47" i="133"/>
  <c r="L48" i="133"/>
  <c r="L46" i="133"/>
  <c r="D20" i="143" l="1"/>
  <c r="E18" i="133"/>
  <c r="D5" i="133"/>
  <c r="D6" i="133"/>
  <c r="J18" i="133"/>
  <c r="D22" i="143"/>
  <c r="B23" i="143"/>
  <c r="E2" i="145"/>
  <c r="D21" i="143"/>
  <c r="D23" i="137"/>
  <c r="D24" i="137"/>
  <c r="D25" i="137"/>
  <c r="D18" i="133"/>
  <c r="D23" i="143"/>
  <c r="O26" i="137"/>
  <c r="B26" i="137" s="1"/>
  <c r="D16" i="133"/>
  <c r="E16" i="133"/>
  <c r="F16" i="133"/>
  <c r="G16" i="133"/>
  <c r="H16" i="133"/>
  <c r="I16" i="133"/>
  <c r="J16" i="133"/>
  <c r="D17" i="133"/>
  <c r="E17" i="133"/>
  <c r="F17" i="133"/>
  <c r="G17" i="133"/>
  <c r="H17" i="133"/>
  <c r="I17" i="133"/>
  <c r="J17" i="133"/>
  <c r="F18" i="133"/>
  <c r="G18" i="133"/>
  <c r="H18" i="133"/>
  <c r="I18" i="133"/>
  <c r="D19" i="133"/>
  <c r="E19" i="133"/>
  <c r="F19" i="133"/>
  <c r="G19" i="133"/>
  <c r="H19" i="133"/>
  <c r="I19" i="133"/>
  <c r="J19" i="133"/>
  <c r="D20" i="133"/>
  <c r="E20" i="133"/>
  <c r="F20" i="133"/>
  <c r="G20" i="133"/>
  <c r="H20" i="133"/>
  <c r="I20" i="133"/>
  <c r="J20" i="133"/>
  <c r="D21" i="133"/>
  <c r="E21" i="133"/>
  <c r="F21" i="133"/>
  <c r="G21" i="133"/>
  <c r="H21" i="133"/>
  <c r="I21" i="133"/>
  <c r="J21" i="133"/>
  <c r="D22" i="133"/>
  <c r="E22" i="133"/>
  <c r="F22" i="133"/>
  <c r="G22" i="133"/>
  <c r="H22" i="133"/>
  <c r="I22" i="133"/>
  <c r="J22" i="133"/>
  <c r="D23" i="133"/>
  <c r="E23" i="133"/>
  <c r="F23" i="133"/>
  <c r="G23" i="133"/>
  <c r="H23" i="133"/>
  <c r="I23" i="133"/>
  <c r="J23" i="133"/>
  <c r="D24" i="133"/>
  <c r="E24" i="133"/>
  <c r="F24" i="133"/>
  <c r="G24" i="133"/>
  <c r="H24" i="133"/>
  <c r="I24" i="133"/>
  <c r="J24" i="133"/>
  <c r="E15" i="133"/>
  <c r="F15" i="133"/>
  <c r="G15" i="133"/>
  <c r="H15" i="133"/>
  <c r="I15" i="133"/>
  <c r="J15" i="133"/>
  <c r="D15" i="133"/>
  <c r="E11" i="133"/>
  <c r="D12" i="133"/>
  <c r="D13" i="133" s="1"/>
  <c r="J10" i="133"/>
  <c r="F12" i="133"/>
  <c r="G12" i="133"/>
  <c r="H12" i="133"/>
  <c r="J12" i="133"/>
  <c r="E6" i="133"/>
  <c r="F6" i="133"/>
  <c r="G6" i="133"/>
  <c r="H6" i="133"/>
  <c r="I6" i="133"/>
  <c r="J6" i="133"/>
  <c r="D7" i="133"/>
  <c r="E7" i="133"/>
  <c r="F7" i="133"/>
  <c r="G7" i="133"/>
  <c r="H7" i="133"/>
  <c r="I7" i="133"/>
  <c r="J7" i="133"/>
  <c r="H5" i="133"/>
  <c r="I5" i="133"/>
  <c r="G5" i="133"/>
  <c r="F5" i="133"/>
  <c r="E5" i="133"/>
  <c r="E6" i="146"/>
  <c r="F6" i="146"/>
  <c r="D6" i="146"/>
  <c r="C6" i="146"/>
  <c r="B22" i="143"/>
  <c r="P25" i="137"/>
  <c r="K10" i="144"/>
  <c r="H11" i="144"/>
  <c r="H13" i="144" s="1"/>
  <c r="G11" i="144"/>
  <c r="G13" i="144" s="1"/>
  <c r="AB7" i="143"/>
  <c r="F2" i="143"/>
  <c r="E2" i="143"/>
  <c r="AB20" i="143" s="1"/>
  <c r="C2" i="143"/>
  <c r="AA7" i="143" s="1"/>
  <c r="B2" i="143"/>
  <c r="Z7" i="143" s="1"/>
  <c r="B9" i="146" s="1"/>
  <c r="F2" i="145"/>
  <c r="G4" i="137"/>
  <c r="G3" i="137"/>
  <c r="C20" i="143"/>
  <c r="C22" i="143"/>
  <c r="J25" i="144"/>
  <c r="I25" i="144"/>
  <c r="E25" i="144"/>
  <c r="K24" i="144"/>
  <c r="K23" i="144"/>
  <c r="K22" i="144"/>
  <c r="K21" i="144"/>
  <c r="K20" i="144"/>
  <c r="K19" i="144"/>
  <c r="K18" i="144"/>
  <c r="K16" i="144"/>
  <c r="K15" i="144"/>
  <c r="D13" i="144"/>
  <c r="I8" i="144"/>
  <c r="I12" i="144" s="1"/>
  <c r="H8" i="144"/>
  <c r="G8" i="144"/>
  <c r="F8" i="144"/>
  <c r="F11" i="144" s="1"/>
  <c r="E8" i="144"/>
  <c r="E12" i="144" s="1"/>
  <c r="D8" i="144"/>
  <c r="K6" i="144"/>
  <c r="J5" i="144"/>
  <c r="J11" i="144" s="1"/>
  <c r="J13" i="144" s="1"/>
  <c r="M25" i="137"/>
  <c r="O25" i="137" s="1"/>
  <c r="B25" i="137" s="1"/>
  <c r="K48" i="133"/>
  <c r="B21" i="143"/>
  <c r="B20" i="143"/>
  <c r="C21" i="143"/>
  <c r="D2" i="143"/>
  <c r="D25" i="144"/>
  <c r="K17" i="144"/>
  <c r="M24" i="137"/>
  <c r="M23" i="137"/>
  <c r="G2" i="137"/>
  <c r="D2" i="137"/>
  <c r="P23" i="137" s="1"/>
  <c r="C2" i="137"/>
  <c r="I22" i="137"/>
  <c r="G22" i="137"/>
  <c r="J13" i="133" l="1"/>
  <c r="E8" i="133"/>
  <c r="K5" i="144"/>
  <c r="K8" i="144" s="1"/>
  <c r="K17" i="133"/>
  <c r="F8" i="133"/>
  <c r="K11" i="144"/>
  <c r="E13" i="144"/>
  <c r="E12" i="133"/>
  <c r="E13" i="133" s="1"/>
  <c r="J8" i="144"/>
  <c r="K25" i="144"/>
  <c r="K15" i="133"/>
  <c r="K22" i="133"/>
  <c r="K16" i="133"/>
  <c r="H8" i="133"/>
  <c r="K12" i="144"/>
  <c r="I12" i="133"/>
  <c r="I13" i="144"/>
  <c r="O24" i="137"/>
  <c r="B24" i="137" s="1"/>
  <c r="O23" i="137"/>
  <c r="B23" i="137" s="1"/>
  <c r="J5" i="133"/>
  <c r="J8" i="133" s="1"/>
  <c r="F13" i="144"/>
  <c r="F11" i="133"/>
  <c r="P24" i="137"/>
  <c r="D39" i="133"/>
  <c r="D38" i="133"/>
  <c r="K6" i="133"/>
  <c r="G8" i="133"/>
  <c r="I8" i="133"/>
  <c r="K21" i="133"/>
  <c r="K20" i="133"/>
  <c r="D8" i="133"/>
  <c r="E40" i="133"/>
  <c r="K24" i="133"/>
  <c r="E25" i="133"/>
  <c r="K19" i="133"/>
  <c r="J25" i="133"/>
  <c r="K23" i="133"/>
  <c r="I25" i="133"/>
  <c r="E47" i="133"/>
  <c r="K47" i="133" s="1"/>
  <c r="D25" i="133"/>
  <c r="K18" i="133"/>
  <c r="D40" i="133"/>
  <c r="AB21" i="143"/>
  <c r="D46" i="133"/>
  <c r="K46" i="133" s="1"/>
  <c r="K12" i="133" l="1"/>
  <c r="K13" i="133" s="1"/>
  <c r="K13" i="144"/>
  <c r="K5" i="133"/>
  <c r="K8" i="133" s="1"/>
  <c r="K25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6B2A075A-EF9A-4D60-B16C-911417EFF6E8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DC68F520-FC17-44E7-94B5-176A4E5EB403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2FACE5EC-0313-48DC-8195-4F64CBA31B41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8403344B-D8B8-4AB0-84F8-13898FD9B2E9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4F53D4B0-E12F-4201-AC6C-884D7A9E5655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20" authorId="2" shapeId="0" xr:uid="{CC8E5D4E-1B3A-43C8-A112-A6697F95B4CC}">
      <text>
        <r>
          <rPr>
            <sz val="8"/>
            <color indexed="81"/>
            <rFont val="Tahoma"/>
            <family val="2"/>
          </rPr>
          <t xml:space="preserve">This attribute is used to assign a production limit by period.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S20" authorId="2" shapeId="0" xr:uid="{B82C1148-4753-4923-93C2-C67B5D40F34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20" authorId="1" shapeId="0" xr:uid="{968CFA1B-C5E9-492D-A0A2-485C997CC98A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20" authorId="2" shapeId="0" xr:uid="{A0615139-A259-4F4D-937C-E8C54FC43716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21" authorId="2" shapeId="0" xr:uid="{028E65FC-6C67-4206-97D8-90E7E85C9E5E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X3" authorId="0" shapeId="0" xr:uid="{2A0D7E80-5B80-433D-8263-BA3B897C06A1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AC3" authorId="1" shapeId="0" xr:uid="{43B8DB13-97B8-4A90-8E0C-84FAE4CBD2EE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AD3" authorId="2" shapeId="0" xr:uid="{2086376C-E954-4E0A-86A9-0D188820E5D4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E3" authorId="2" shapeId="0" xr:uid="{C18132A6-0DCC-46ED-9E3E-6E9D416748A3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AF3" authorId="2" shapeId="0" xr:uid="{EFF6FA36-E1C1-4FF3-A44F-72D97BD59DA1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D17" authorId="2" shapeId="0" xr:uid="{B8BF4189-7AEB-4804-8932-33CB73FCE7E5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E17" authorId="1" shapeId="0" xr:uid="{5D6B271C-ECB1-4F2A-B44A-CFC55CCC04E5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F17" authorId="2" shapeId="0" xr:uid="{2D72E718-CBF9-42D3-993C-F0AD66976F32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X18" authorId="2" shapeId="0" xr:uid="{0B963EA5-F116-4DDE-B632-C6029837D6FB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<sst xmlns="http://schemas.openxmlformats.org/spreadsheetml/2006/main" count="793" uniqueCount="270">
  <si>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</si>
  <si>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</si>
  <si>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</si>
  <si>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</si>
  <si>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</si>
  <si>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</si>
  <si>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</si>
  <si>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</si>
  <si>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</si>
  <si>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</si>
  <si>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</si>
  <si>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</si>
  <si>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</si>
  <si>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</si>
  <si>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</si>
  <si>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</si>
  <si>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</si>
  <si>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</si>
  <si>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</si>
  <si>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</si>
  <si>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</si>
  <si>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</si>
  <si>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</si>
  <si>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</si>
  <si>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</si>
  <si>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</si>
  <si>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</si>
  <si>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</si>
  <si>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</si>
  <si>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</si>
  <si>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</si>
  <si>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</si>
  <si>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</si>
  <si>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</si>
  <si>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CUM</t>
  </si>
  <si>
    <t>COST</t>
  </si>
  <si>
    <t>Reserves Cumulative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</si>
  <si>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</si>
  <si>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</si>
  <si>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</si>
  <si>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</si>
  <si>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</si>
  <si>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</si>
  <si>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</si>
  <si>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</si>
  <si>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OIL</t>
  </si>
  <si>
    <t>ELC</t>
  </si>
  <si>
    <t>Solid Fuels</t>
  </si>
  <si>
    <t>Total</t>
  </si>
  <si>
    <t>PRIMARY</t>
  </si>
  <si>
    <t>MIN</t>
  </si>
  <si>
    <t>Domestic Supply</t>
  </si>
  <si>
    <t>IMP</t>
  </si>
  <si>
    <t>Imports</t>
  </si>
  <si>
    <t>CONVERSION</t>
  </si>
  <si>
    <t>ESC</t>
  </si>
  <si>
    <t>Energy Sector Consumption</t>
  </si>
  <si>
    <t>Electricity Plants</t>
  </si>
  <si>
    <t>HPL</t>
  </si>
  <si>
    <t>Total Conversion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</si>
  <si>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</si>
  <si>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</si>
  <si>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</si>
  <si>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</si>
  <si>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</si>
  <si>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</si>
  <si>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</si>
  <si>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</si>
  <si>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</si>
  <si>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</si>
  <si>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</si>
  <si>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</si>
  <si>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</si>
  <si>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</si>
  <si>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</si>
  <si>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</si>
  <si>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</si>
  <si>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</si>
  <si>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Default Unit</t>
  </si>
  <si>
    <t>Currency Unit</t>
  </si>
  <si>
    <t>ACT_BND</t>
  </si>
  <si>
    <t>*</t>
  </si>
  <si>
    <t>DEM</t>
  </si>
  <si>
    <t>NEN</t>
  </si>
  <si>
    <t>BNK</t>
  </si>
  <si>
    <t>Electricity</t>
  </si>
  <si>
    <t>TFC</t>
  </si>
  <si>
    <t>*Units</t>
  </si>
  <si>
    <t>Annual Production Bound</t>
  </si>
  <si>
    <t>Cost</t>
  </si>
  <si>
    <t>Default Units</t>
  </si>
  <si>
    <t>Currency</t>
  </si>
  <si>
    <t>Activity</t>
  </si>
  <si>
    <t>Emissions</t>
  </si>
  <si>
    <t>Domestic Supply Curve Share - Step 1</t>
  </si>
  <si>
    <t>Domestic Supply Curve Share - Step 2</t>
  </si>
  <si>
    <t>Year</t>
  </si>
  <si>
    <t>User inputs</t>
  </si>
  <si>
    <t>Linked to the Energy Balance</t>
  </si>
  <si>
    <t>Type</t>
  </si>
  <si>
    <t>Existing</t>
  </si>
  <si>
    <t>E</t>
  </si>
  <si>
    <t>EFF</t>
  </si>
  <si>
    <t>AFA</t>
  </si>
  <si>
    <t>LIFE</t>
  </si>
  <si>
    <t>Existing Installed Capacity</t>
  </si>
  <si>
    <t>Efficiency</t>
  </si>
  <si>
    <t>Utilisation Factor</t>
  </si>
  <si>
    <t>Years</t>
  </si>
  <si>
    <t>DMD</t>
  </si>
  <si>
    <t>TPS</t>
  </si>
  <si>
    <t>Total Primary Supply</t>
  </si>
  <si>
    <t>Total Final Consumption</t>
  </si>
  <si>
    <t>Lifetime</t>
  </si>
  <si>
    <t>Biomass</t>
  </si>
  <si>
    <t xml:space="preserve"> Oil</t>
  </si>
  <si>
    <t>EXP</t>
  </si>
  <si>
    <t>HYD</t>
  </si>
  <si>
    <t>Hydopower</t>
  </si>
  <si>
    <t>BIO</t>
  </si>
  <si>
    <t>Exports</t>
  </si>
  <si>
    <t>MAN</t>
  </si>
  <si>
    <t>Manufacturing</t>
  </si>
  <si>
    <t>CON</t>
  </si>
  <si>
    <t>Construction</t>
  </si>
  <si>
    <t xml:space="preserve">Agriculture </t>
  </si>
  <si>
    <t>Heat Plants and other transformations</t>
  </si>
  <si>
    <t>SOL</t>
  </si>
  <si>
    <t>WIN</t>
  </si>
  <si>
    <t>Solar</t>
  </si>
  <si>
    <t>Wind</t>
  </si>
  <si>
    <t>Break/out by end-use</t>
  </si>
  <si>
    <t>Sector</t>
  </si>
  <si>
    <t>Emission by sector</t>
  </si>
  <si>
    <t>CO2</t>
  </si>
  <si>
    <t>Nox</t>
  </si>
  <si>
    <t>VOC</t>
  </si>
  <si>
    <t>Carbon dioxide</t>
  </si>
  <si>
    <t>NOX</t>
  </si>
  <si>
    <t>ENV</t>
  </si>
  <si>
    <t>Input Share</t>
  </si>
  <si>
    <t>Kiln</t>
  </si>
  <si>
    <t>MW</t>
  </si>
  <si>
    <t>Boiler</t>
  </si>
  <si>
    <t>Oil to heat transformation technology</t>
  </si>
  <si>
    <t>Oil</t>
  </si>
  <si>
    <t xml:space="preserve">Manufacturing sector </t>
  </si>
  <si>
    <t>Toal</t>
  </si>
  <si>
    <t>GWh</t>
  </si>
  <si>
    <t>CAP2ACT</t>
  </si>
  <si>
    <t>conversion factor from cap to act</t>
  </si>
  <si>
    <t>MANELC</t>
  </si>
  <si>
    <t>Manufacturing coal-domestic</t>
  </si>
  <si>
    <t>Manufacturing coal-imported</t>
  </si>
  <si>
    <t>Manufacturing oil-imported</t>
  </si>
  <si>
    <t>Coal</t>
  </si>
  <si>
    <t>INVCOST</t>
  </si>
  <si>
    <t>FIXOM</t>
  </si>
  <si>
    <t>Inestment Cost</t>
  </si>
  <si>
    <t>Fixed O&amp;M Cost</t>
  </si>
  <si>
    <t>Attribute</t>
  </si>
  <si>
    <t>*Unit</t>
  </si>
  <si>
    <t>Demand Commodity Name</t>
  </si>
  <si>
    <t>Demand Unit</t>
  </si>
  <si>
    <t>Demand Value</t>
  </si>
  <si>
    <t>Demand</t>
  </si>
  <si>
    <t>Timeslices</t>
  </si>
  <si>
    <t>COM_FR</t>
  </si>
  <si>
    <t>D_01</t>
  </si>
  <si>
    <t>D_02</t>
  </si>
  <si>
    <t>D_03</t>
  </si>
  <si>
    <t>D_04</t>
  </si>
  <si>
    <t>D_05</t>
  </si>
  <si>
    <t>D_06</t>
  </si>
  <si>
    <t>D_07</t>
  </si>
  <si>
    <t>D_08</t>
  </si>
  <si>
    <t>D_09</t>
  </si>
  <si>
    <t>D_10</t>
  </si>
  <si>
    <t>D_11</t>
  </si>
  <si>
    <t>D_12</t>
  </si>
  <si>
    <t>D_13</t>
  </si>
  <si>
    <t>D_14</t>
  </si>
  <si>
    <t>D_15</t>
  </si>
  <si>
    <t>D_16</t>
  </si>
  <si>
    <t>D_17</t>
  </si>
  <si>
    <t>D_18</t>
  </si>
  <si>
    <t>D_19</t>
  </si>
  <si>
    <t>D_20</t>
  </si>
  <si>
    <t>D_21</t>
  </si>
  <si>
    <t>D_22</t>
  </si>
  <si>
    <t>D_23</t>
  </si>
  <si>
    <t>D_24</t>
  </si>
  <si>
    <t>MWa</t>
  </si>
  <si>
    <t>Coal to heat transformation technology</t>
  </si>
  <si>
    <t>Dynamic coefficients for combustion emissions in transport</t>
  </si>
  <si>
    <t>~COMEMI</t>
  </si>
  <si>
    <t>kt/GWh</t>
  </si>
  <si>
    <t>GRID Electricity</t>
  </si>
  <si>
    <t>Manufacturing  Electricity for machine drive and other services</t>
  </si>
  <si>
    <t>GRID</t>
  </si>
  <si>
    <t>Grid electricity</t>
  </si>
  <si>
    <t>Manufacturing ElectricitySupply-ELC</t>
  </si>
  <si>
    <t>DayNite</t>
  </si>
  <si>
    <r>
      <rPr>
        <sz val="10"/>
        <color rgb="FFFF0000"/>
        <rFont val="Arial"/>
        <family val="2"/>
      </rPr>
      <t>MAN</t>
    </r>
    <r>
      <rPr>
        <sz val="10"/>
        <rFont val="Arial"/>
        <family val="2"/>
      </rPr>
      <t>COALMIN</t>
    </r>
  </si>
  <si>
    <r>
      <rPr>
        <sz val="10"/>
        <color rgb="FFFF0000"/>
        <rFont val="Arial"/>
        <family val="2"/>
      </rPr>
      <t>MAN</t>
    </r>
    <r>
      <rPr>
        <sz val="10"/>
        <rFont val="Arial"/>
        <family val="2"/>
      </rPr>
      <t>COALIMP</t>
    </r>
  </si>
  <si>
    <r>
      <rPr>
        <sz val="10"/>
        <color rgb="FFFF0000"/>
        <rFont val="Arial"/>
        <family val="2"/>
      </rPr>
      <t>MAN</t>
    </r>
    <r>
      <rPr>
        <sz val="10"/>
        <rFont val="Arial"/>
        <family val="2"/>
      </rPr>
      <t>OILIMP</t>
    </r>
  </si>
  <si>
    <t>ktoe</t>
  </si>
  <si>
    <t>Aggrigate electricity demand of manufacturing sector</t>
  </si>
  <si>
    <t>%</t>
  </si>
  <si>
    <t>NCAP_BND</t>
  </si>
  <si>
    <t>New capacity bound</t>
  </si>
  <si>
    <t>Manufacturing Heat from Oil</t>
  </si>
  <si>
    <t>Manufacturing Heat from Coal</t>
  </si>
  <si>
    <t>MANHEAT</t>
  </si>
  <si>
    <t>START</t>
  </si>
  <si>
    <t>W_01</t>
  </si>
  <si>
    <t>W_02</t>
  </si>
  <si>
    <t>W_03</t>
  </si>
  <si>
    <t>W_04</t>
  </si>
  <si>
    <t>W_05</t>
  </si>
  <si>
    <t>W_06</t>
  </si>
  <si>
    <t>W_07</t>
  </si>
  <si>
    <t>W_08</t>
  </si>
  <si>
    <t>W_09</t>
  </si>
  <si>
    <t>W_10</t>
  </si>
  <si>
    <t>W_11</t>
  </si>
  <si>
    <t>W_12</t>
  </si>
  <si>
    <t>W_13</t>
  </si>
  <si>
    <t>W_14</t>
  </si>
  <si>
    <t>W_15</t>
  </si>
  <si>
    <t>W_16</t>
  </si>
  <si>
    <t>W_17</t>
  </si>
  <si>
    <t>W_18</t>
  </si>
  <si>
    <t>W_19</t>
  </si>
  <si>
    <t>W_20</t>
  </si>
  <si>
    <t>W_21</t>
  </si>
  <si>
    <t>W_22</t>
  </si>
  <si>
    <t>W_23</t>
  </si>
  <si>
    <t>W_24</t>
  </si>
  <si>
    <t>MANCO2</t>
  </si>
  <si>
    <t>ENV_ACT</t>
  </si>
  <si>
    <t>Activity Emission Coefficient</t>
  </si>
  <si>
    <t>ktCO₂/GWh</t>
  </si>
  <si>
    <r>
      <t>Share-I~LO</t>
    </r>
    <r>
      <rPr>
        <b/>
        <sz val="10"/>
        <color rgb="FFFF0000"/>
        <rFont val="Arial"/>
        <family val="2"/>
      </rPr>
      <t>~2025</t>
    </r>
  </si>
  <si>
    <r>
      <t>Share-I~LO</t>
    </r>
    <r>
      <rPr>
        <b/>
        <sz val="10"/>
        <color rgb="FFFF0000"/>
        <rFont val="Arial"/>
        <family val="2"/>
      </rPr>
      <t>~2030</t>
    </r>
  </si>
  <si>
    <r>
      <t>Share-I~LO</t>
    </r>
    <r>
      <rPr>
        <b/>
        <sz val="10"/>
        <color rgb="FFFF0000"/>
        <rFont val="Arial"/>
        <family val="2"/>
      </rPr>
      <t>~2035</t>
    </r>
  </si>
  <si>
    <r>
      <t>Share-I~LO</t>
    </r>
    <r>
      <rPr>
        <b/>
        <sz val="10"/>
        <color rgb="FFFF0000"/>
        <rFont val="Arial"/>
        <family val="2"/>
      </rPr>
      <t>~2040</t>
    </r>
  </si>
  <si>
    <r>
      <t>Share-I~LO</t>
    </r>
    <r>
      <rPr>
        <b/>
        <sz val="10"/>
        <color rgb="FFFF0000"/>
        <rFont val="Arial"/>
        <family val="2"/>
      </rPr>
      <t>~2045</t>
    </r>
  </si>
  <si>
    <t>CEMENTHEAT</t>
  </si>
  <si>
    <t>DM1: Cement heat</t>
  </si>
  <si>
    <t>DM2: Non-cement process heat</t>
  </si>
  <si>
    <t>DM3 : Machine dive, lighting, cooling , refrigration etc</t>
  </si>
  <si>
    <t>TH$2024</t>
  </si>
  <si>
    <t>TH2024USD/GWh</t>
  </si>
  <si>
    <t>TH$2024USD</t>
  </si>
  <si>
    <t>VAROM</t>
  </si>
  <si>
    <t>Variable O&amp;M Cost</t>
  </si>
  <si>
    <t>2024THUSD/MW</t>
  </si>
  <si>
    <t>Peak</t>
  </si>
  <si>
    <t>% contribution</t>
  </si>
  <si>
    <t>MANCOALMIN</t>
  </si>
  <si>
    <t>MANCOALIMP</t>
  </si>
  <si>
    <t>MANOILIMP</t>
  </si>
  <si>
    <r>
      <t>Share-I~LO</t>
    </r>
    <r>
      <rPr>
        <b/>
        <sz val="10"/>
        <color rgb="FFFF0000"/>
        <rFont val="Arial"/>
        <family val="2"/>
      </rPr>
      <t>~2050</t>
    </r>
  </si>
  <si>
    <r>
      <t>Share-I~FX</t>
    </r>
    <r>
      <rPr>
        <b/>
        <sz val="10"/>
        <color rgb="FFFF0000"/>
        <rFont val="Arial"/>
        <family val="2"/>
      </rPr>
      <t>~2022</t>
    </r>
  </si>
  <si>
    <t>MANELC_TECH</t>
  </si>
  <si>
    <t>2024THUSD/MWh</t>
  </si>
  <si>
    <t>GRIDELC</t>
  </si>
  <si>
    <t>ELCAGG</t>
  </si>
  <si>
    <t>Electricity aggrigator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</si>
</sst>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General_)"/>
    <numFmt numFmtId="166" formatCode="\Te\x\t"/>
    <numFmt numFmtId="167" formatCode="0.000000000"/>
    <numFmt numFmtId="168" formatCode="0.000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sz val="8"/>
      <name val="Arial"/>
      <family val="2"/>
    </font>
    <font>
      <sz val="14"/>
      <color indexed="9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sz val="11"/>
      <color rgb="FF9C5700"/>
      <name val="Calibri"/>
      <family val="2"/>
      <scheme val="minor"/>
    </font>
    <font>
      <sz val="10"/>
      <name val="Times New Roman"/>
      <family val="1"/>
    </font>
    <font>
      <sz val="11"/>
      <color theme="1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  <font>
      <sz val="10"/>
      <color rgb="FF00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7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10" applyNumberFormat="0" applyAlignment="0" applyProtection="0"/>
    <xf numFmtId="164" fontId="16" fillId="0" borderId="0" applyFont="0" applyFill="0" applyBorder="0" applyAlignment="0" applyProtection="0"/>
    <xf numFmtId="0" fontId="19" fillId="7" borderId="0" applyNumberFormat="0" applyBorder="0" applyAlignment="0" applyProtection="0"/>
    <xf numFmtId="0" fontId="20" fillId="8" borderId="10" applyNumberFormat="0" applyAlignment="0" applyProtection="0"/>
    <xf numFmtId="0" fontId="21" fillId="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9" fillId="0" borderId="0"/>
    <xf numFmtId="0" fontId="7" fillId="0" borderId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" fillId="0" borderId="0"/>
    <xf numFmtId="0" fontId="5" fillId="3" borderId="0" applyNumberFormat="0" applyBorder="0" applyAlignment="0" applyProtection="0"/>
    <xf numFmtId="9" fontId="6" fillId="0" borderId="0" applyFont="0" applyFill="0" applyBorder="0" applyAlignment="0" applyProtection="0"/>
    <xf numFmtId="0" fontId="4" fillId="3" borderId="0" applyNumberFormat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3" borderId="0" applyNumberFormat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2" fillId="3" borderId="0" applyNumberFormat="0" applyBorder="0" applyAlignment="0" applyProtection="0"/>
    <xf numFmtId="0" fontId="1" fillId="0" borderId="0"/>
    <xf numFmtId="0" fontId="31" fillId="9" borderId="0" applyNumberFormat="0" applyBorder="0" applyAlignment="0" applyProtection="0"/>
    <xf numFmtId="9" fontId="1" fillId="0" borderId="0" applyFont="0" applyFill="0" applyBorder="0" applyAlignment="0" applyProtection="0"/>
  </cellStyleXfs>
  <cellXfs count="190">
    <xf numFmtId="0" fontId="0" fillId="0" borderId="0" xfId="0"/>
    <xf numFmtId="0" fontId="9" fillId="0" borderId="0" xfId="0" applyFont="1"/>
    <xf numFmtId="0" fontId="8" fillId="2" borderId="1" xfId="0" applyFont="1" applyFill="1" applyBorder="1" applyAlignment="1">
      <alignment horizontal="left"/>
    </xf>
    <xf numFmtId="0" fontId="10" fillId="0" borderId="0" xfId="11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7" fillId="5" borderId="0" xfId="3"/>
    <xf numFmtId="0" fontId="22" fillId="10" borderId="0" xfId="6" applyFont="1" applyFill="1"/>
    <xf numFmtId="0" fontId="23" fillId="3" borderId="3" xfId="1" applyFont="1" applyBorder="1" applyAlignment="1">
      <alignment horizontal="center" wrapText="1"/>
    </xf>
    <xf numFmtId="0" fontId="23" fillId="3" borderId="3" xfId="1" applyFont="1" applyBorder="1" applyAlignment="1">
      <alignment horizontal="left" wrapText="1"/>
    </xf>
    <xf numFmtId="0" fontId="8" fillId="2" borderId="4" xfId="0" applyFont="1" applyFill="1" applyBorder="1" applyAlignment="1">
      <alignment horizontal="left"/>
    </xf>
    <xf numFmtId="0" fontId="0" fillId="0" borderId="0" xfId="0" applyAlignment="1">
      <alignment wrapText="1"/>
    </xf>
    <xf numFmtId="0" fontId="24" fillId="0" borderId="0" xfId="0" applyFont="1"/>
    <xf numFmtId="0" fontId="9" fillId="0" borderId="5" xfId="0" applyFont="1" applyBorder="1"/>
    <xf numFmtId="0" fontId="9" fillId="0" borderId="6" xfId="0" applyFont="1" applyBorder="1"/>
    <xf numFmtId="9" fontId="25" fillId="0" borderId="6" xfId="16" applyFont="1" applyBorder="1" applyAlignment="1"/>
    <xf numFmtId="0" fontId="9" fillId="0" borderId="7" xfId="0" applyFont="1" applyBorder="1"/>
    <xf numFmtId="9" fontId="25" fillId="0" borderId="7" xfId="16" applyFont="1" applyBorder="1" applyAlignment="1"/>
    <xf numFmtId="9" fontId="25" fillId="0" borderId="0" xfId="16" applyFont="1" applyBorder="1" applyAlignment="1"/>
    <xf numFmtId="0" fontId="17" fillId="5" borderId="0" xfId="3" applyAlignment="1">
      <alignment wrapText="1"/>
    </xf>
    <xf numFmtId="0" fontId="8" fillId="0" borderId="0" xfId="0" applyFont="1"/>
    <xf numFmtId="1" fontId="9" fillId="0" borderId="0" xfId="9" applyNumberFormat="1"/>
    <xf numFmtId="0" fontId="8" fillId="0" borderId="2" xfId="0" applyFont="1" applyBorder="1" applyAlignment="1">
      <alignment horizontal="center" wrapText="1"/>
    </xf>
    <xf numFmtId="0" fontId="26" fillId="0" borderId="0" xfId="0" applyFont="1"/>
    <xf numFmtId="0" fontId="22" fillId="10" borderId="0" xfId="6" applyFont="1" applyFill="1" applyAlignment="1">
      <alignment horizontal="left"/>
    </xf>
    <xf numFmtId="1" fontId="0" fillId="11" borderId="0" xfId="0" applyNumberFormat="1" applyFill="1"/>
    <xf numFmtId="1" fontId="8" fillId="11" borderId="0" xfId="0" applyNumberFormat="1" applyFont="1" applyFill="1"/>
    <xf numFmtId="0" fontId="26" fillId="12" borderId="2" xfId="0" applyFont="1" applyFill="1" applyBorder="1" applyAlignment="1">
      <alignment wrapText="1"/>
    </xf>
    <xf numFmtId="0" fontId="8" fillId="12" borderId="2" xfId="0" applyFont="1" applyFill="1" applyBorder="1" applyAlignment="1">
      <alignment wrapText="1"/>
    </xf>
    <xf numFmtId="0" fontId="26" fillId="12" borderId="0" xfId="0" applyFont="1" applyFill="1"/>
    <xf numFmtId="1" fontId="0" fillId="13" borderId="0" xfId="0" applyNumberFormat="1" applyFill="1"/>
    <xf numFmtId="1" fontId="8" fillId="13" borderId="0" xfId="0" applyNumberFormat="1" applyFont="1" applyFill="1"/>
    <xf numFmtId="1" fontId="0" fillId="14" borderId="0" xfId="0" applyNumberFormat="1" applyFill="1"/>
    <xf numFmtId="1" fontId="0" fillId="14" borderId="2" xfId="0" applyNumberFormat="1" applyFill="1" applyBorder="1"/>
    <xf numFmtId="1" fontId="8" fillId="14" borderId="0" xfId="0" applyNumberFormat="1" applyFont="1" applyFill="1"/>
    <xf numFmtId="1" fontId="20" fillId="8" borderId="0" xfId="7" applyNumberFormat="1" applyBorder="1" applyAlignment="1"/>
    <xf numFmtId="1" fontId="18" fillId="6" borderId="4" xfId="4" applyNumberFormat="1" applyBorder="1" applyAlignment="1">
      <alignment horizontal="right"/>
    </xf>
    <xf numFmtId="1" fontId="20" fillId="8" borderId="4" xfId="7" applyNumberFormat="1" applyBorder="1" applyAlignment="1"/>
    <xf numFmtId="165" fontId="18" fillId="6" borderId="5" xfId="4" applyNumberFormat="1" applyBorder="1" applyAlignment="1">
      <alignment horizontal="right" vertical="center"/>
    </xf>
    <xf numFmtId="0" fontId="8" fillId="0" borderId="2" xfId="0" applyFont="1" applyBorder="1"/>
    <xf numFmtId="1" fontId="18" fillId="6" borderId="11" xfId="4" applyNumberFormat="1" applyBorder="1" applyAlignment="1">
      <alignment horizontal="right"/>
    </xf>
    <xf numFmtId="1" fontId="18" fillId="6" borderId="12" xfId="4" applyNumberFormat="1" applyBorder="1" applyAlignment="1">
      <alignment horizontal="right"/>
    </xf>
    <xf numFmtId="165" fontId="14" fillId="13" borderId="6" xfId="0" applyNumberFormat="1" applyFont="1" applyFill="1" applyBorder="1" applyAlignment="1">
      <alignment horizontal="left" vertical="center"/>
    </xf>
    <xf numFmtId="165" fontId="14" fillId="13" borderId="8" xfId="0" applyNumberFormat="1" applyFont="1" applyFill="1" applyBorder="1" applyAlignment="1">
      <alignment horizontal="left" vertical="center"/>
    </xf>
    <xf numFmtId="165" fontId="14" fillId="14" borderId="6" xfId="0" applyNumberFormat="1" applyFont="1" applyFill="1" applyBorder="1" applyAlignment="1">
      <alignment horizontal="left" vertical="center"/>
    </xf>
    <xf numFmtId="165" fontId="14" fillId="14" borderId="8" xfId="0" applyNumberFormat="1" applyFont="1" applyFill="1" applyBorder="1" applyAlignment="1">
      <alignment horizontal="left" vertical="center"/>
    </xf>
    <xf numFmtId="165" fontId="14" fillId="14" borderId="7" xfId="0" applyNumberFormat="1" applyFont="1" applyFill="1" applyBorder="1" applyAlignment="1">
      <alignment horizontal="left" vertical="center"/>
    </xf>
    <xf numFmtId="0" fontId="0" fillId="15" borderId="0" xfId="0" applyFill="1"/>
    <xf numFmtId="0" fontId="9" fillId="13" borderId="0" xfId="8" applyFont="1" applyFill="1"/>
    <xf numFmtId="2" fontId="9" fillId="13" borderId="0" xfId="0" applyNumberFormat="1" applyFont="1" applyFill="1"/>
    <xf numFmtId="0" fontId="22" fillId="10" borderId="0" xfId="6" applyFont="1" applyFill="1" applyAlignment="1">
      <alignment wrapText="1"/>
    </xf>
    <xf numFmtId="0" fontId="22" fillId="0" borderId="0" xfId="6" applyFont="1" applyFill="1"/>
    <xf numFmtId="0" fontId="8" fillId="2" borderId="1" xfId="11" applyFont="1" applyFill="1" applyBorder="1" applyAlignment="1">
      <alignment horizontal="left" vertical="center"/>
    </xf>
    <xf numFmtId="0" fontId="17" fillId="4" borderId="0" xfId="2"/>
    <xf numFmtId="0" fontId="0" fillId="0" borderId="4" xfId="0" applyBorder="1"/>
    <xf numFmtId="1" fontId="20" fillId="8" borderId="1" xfId="7" applyNumberFormat="1" applyBorder="1" applyAlignment="1"/>
    <xf numFmtId="1" fontId="18" fillId="6" borderId="13" xfId="4" applyNumberFormat="1" applyBorder="1" applyAlignment="1">
      <alignment horizontal="right"/>
    </xf>
    <xf numFmtId="165" fontId="13" fillId="0" borderId="5" xfId="0" applyNumberFormat="1" applyFont="1" applyBorder="1" applyAlignment="1">
      <alignment horizontal="left" vertical="center"/>
    </xf>
    <xf numFmtId="165" fontId="14" fillId="11" borderId="8" xfId="0" applyNumberFormat="1" applyFont="1" applyFill="1" applyBorder="1" applyAlignment="1">
      <alignment horizontal="left" vertical="center"/>
    </xf>
    <xf numFmtId="165" fontId="13" fillId="0" borderId="7" xfId="0" applyNumberFormat="1" applyFont="1" applyBorder="1" applyAlignment="1">
      <alignment horizontal="left" vertical="center"/>
    </xf>
    <xf numFmtId="0" fontId="9" fillId="0" borderId="0" xfId="8" applyFont="1" applyFill="1"/>
    <xf numFmtId="2" fontId="9" fillId="0" borderId="0" xfId="0" applyNumberFormat="1" applyFont="1"/>
    <xf numFmtId="0" fontId="8" fillId="2" borderId="1" xfId="0" applyFont="1" applyFill="1" applyBorder="1" applyAlignment="1">
      <alignment horizontal="center"/>
    </xf>
    <xf numFmtId="166" fontId="10" fillId="0" borderId="0" xfId="0" applyNumberFormat="1" applyFont="1"/>
    <xf numFmtId="166" fontId="9" fillId="0" borderId="0" xfId="0" applyNumberFormat="1" applyFont="1"/>
    <xf numFmtId="166" fontId="8" fillId="2" borderId="1" xfId="0" applyNumberFormat="1" applyFont="1" applyFill="1" applyBorder="1" applyAlignment="1">
      <alignment horizontal="left"/>
    </xf>
    <xf numFmtId="166" fontId="8" fillId="2" borderId="4" xfId="0" applyNumberFormat="1" applyFont="1" applyFill="1" applyBorder="1" applyAlignment="1">
      <alignment horizontal="left"/>
    </xf>
    <xf numFmtId="166" fontId="23" fillId="3" borderId="3" xfId="1" applyNumberFormat="1" applyFont="1" applyBorder="1" applyAlignment="1">
      <alignment horizontal="left" wrapText="1"/>
    </xf>
    <xf numFmtId="166" fontId="0" fillId="0" borderId="0" xfId="0" applyNumberFormat="1"/>
    <xf numFmtId="166" fontId="23" fillId="3" borderId="3" xfId="1" applyNumberFormat="1" applyFont="1" applyBorder="1" applyAlignment="1">
      <alignment horizontal="center" wrapText="1"/>
    </xf>
    <xf numFmtId="166" fontId="0" fillId="0" borderId="0" xfId="0" applyNumberFormat="1" applyAlignment="1">
      <alignment wrapText="1"/>
    </xf>
    <xf numFmtId="1" fontId="0" fillId="14" borderId="1" xfId="0" applyNumberFormat="1" applyFill="1" applyBorder="1"/>
    <xf numFmtId="1" fontId="18" fillId="6" borderId="2" xfId="4" applyNumberFormat="1" applyBorder="1" applyAlignment="1">
      <alignment horizontal="right"/>
    </xf>
    <xf numFmtId="1" fontId="18" fillId="6" borderId="14" xfId="4" applyNumberFormat="1" applyBorder="1" applyAlignment="1">
      <alignment horizontal="right"/>
    </xf>
    <xf numFmtId="165" fontId="14" fillId="14" borderId="1" xfId="0" applyNumberFormat="1" applyFont="1" applyFill="1" applyBorder="1" applyAlignment="1">
      <alignment horizontal="left" vertical="center"/>
    </xf>
    <xf numFmtId="165" fontId="14" fillId="14" borderId="2" xfId="0" applyNumberFormat="1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22" fillId="16" borderId="0" xfId="6" applyFont="1" applyFill="1"/>
    <xf numFmtId="0" fontId="26" fillId="12" borderId="15" xfId="0" applyFont="1" applyFill="1" applyBorder="1" applyAlignment="1">
      <alignment wrapText="1"/>
    </xf>
    <xf numFmtId="0" fontId="26" fillId="12" borderId="5" xfId="0" applyFont="1" applyFill="1" applyBorder="1" applyAlignment="1">
      <alignment wrapText="1"/>
    </xf>
    <xf numFmtId="0" fontId="26" fillId="12" borderId="16" xfId="0" applyFont="1" applyFill="1" applyBorder="1" applyAlignment="1">
      <alignment wrapText="1"/>
    </xf>
    <xf numFmtId="0" fontId="8" fillId="12" borderId="17" xfId="0" applyFont="1" applyFill="1" applyBorder="1" applyAlignment="1">
      <alignment wrapText="1"/>
    </xf>
    <xf numFmtId="0" fontId="8" fillId="12" borderId="6" xfId="0" applyFont="1" applyFill="1" applyBorder="1" applyAlignment="1">
      <alignment wrapText="1"/>
    </xf>
    <xf numFmtId="165" fontId="14" fillId="14" borderId="15" xfId="0" applyNumberFormat="1" applyFont="1" applyFill="1" applyBorder="1" applyAlignment="1">
      <alignment horizontal="center" vertical="center"/>
    </xf>
    <xf numFmtId="165" fontId="14" fillId="14" borderId="5" xfId="0" applyNumberFormat="1" applyFont="1" applyFill="1" applyBorder="1" applyAlignment="1">
      <alignment horizontal="center" vertical="center"/>
    </xf>
    <xf numFmtId="165" fontId="14" fillId="14" borderId="16" xfId="0" applyNumberFormat="1" applyFont="1" applyFill="1" applyBorder="1" applyAlignment="1">
      <alignment horizontal="center" vertical="center"/>
    </xf>
    <xf numFmtId="0" fontId="8" fillId="12" borderId="0" xfId="0" applyFont="1" applyFill="1" applyAlignment="1">
      <alignment wrapText="1"/>
    </xf>
    <xf numFmtId="1" fontId="25" fillId="15" borderId="0" xfId="0" applyNumberFormat="1" applyFont="1" applyFill="1"/>
    <xf numFmtId="0" fontId="9" fillId="0" borderId="0" xfId="9"/>
    <xf numFmtId="166" fontId="10" fillId="0" borderId="0" xfId="9" applyNumberFormat="1" applyFont="1"/>
    <xf numFmtId="166" fontId="9" fillId="0" borderId="0" xfId="9" applyNumberFormat="1"/>
    <xf numFmtId="166" fontId="8" fillId="2" borderId="1" xfId="9" applyNumberFormat="1" applyFont="1" applyFill="1" applyBorder="1" applyAlignment="1">
      <alignment horizontal="left"/>
    </xf>
    <xf numFmtId="166" fontId="8" fillId="2" borderId="4" xfId="9" applyNumberFormat="1" applyFont="1" applyFill="1" applyBorder="1" applyAlignment="1">
      <alignment horizontal="left"/>
    </xf>
    <xf numFmtId="166" fontId="23" fillId="3" borderId="3" xfId="23" applyNumberFormat="1" applyFont="1" applyBorder="1" applyAlignment="1">
      <alignment horizontal="left" wrapText="1"/>
    </xf>
    <xf numFmtId="0" fontId="25" fillId="0" borderId="0" xfId="9" applyFont="1"/>
    <xf numFmtId="0" fontId="8" fillId="2" borderId="1" xfId="11" applyFont="1" applyFill="1" applyBorder="1" applyAlignment="1">
      <alignment horizontal="center" vertical="center" wrapText="1"/>
    </xf>
    <xf numFmtId="0" fontId="8" fillId="2" borderId="1" xfId="12" applyFont="1" applyFill="1" applyBorder="1" applyAlignment="1">
      <alignment horizontal="center" vertical="center" wrapText="1"/>
    </xf>
    <xf numFmtId="0" fontId="23" fillId="3" borderId="1" xfId="23" applyFont="1" applyBorder="1" applyAlignment="1">
      <alignment horizontal="left" wrapText="1"/>
    </xf>
    <xf numFmtId="0" fontId="23" fillId="3" borderId="4" xfId="23" applyFont="1" applyBorder="1" applyAlignment="1">
      <alignment horizontal="left" wrapText="1"/>
    </xf>
    <xf numFmtId="0" fontId="23" fillId="3" borderId="3" xfId="23" applyFont="1" applyBorder="1" applyAlignment="1">
      <alignment horizontal="left" wrapText="1"/>
    </xf>
    <xf numFmtId="0" fontId="23" fillId="3" borderId="3" xfId="23" applyFont="1" applyBorder="1" applyAlignment="1">
      <alignment horizontal="center" wrapText="1"/>
    </xf>
    <xf numFmtId="0" fontId="23" fillId="3" borderId="9" xfId="23" applyFont="1" applyBorder="1" applyAlignment="1">
      <alignment horizontal="center" wrapText="1"/>
    </xf>
    <xf numFmtId="9" fontId="9" fillId="15" borderId="0" xfId="24" applyFont="1" applyFill="1"/>
    <xf numFmtId="2" fontId="9" fillId="13" borderId="0" xfId="9" applyNumberFormat="1" applyFill="1"/>
    <xf numFmtId="0" fontId="9" fillId="13" borderId="0" xfId="9" applyFill="1"/>
    <xf numFmtId="2" fontId="9" fillId="0" borderId="0" xfId="9" applyNumberFormat="1"/>
    <xf numFmtId="9" fontId="9" fillId="0" borderId="0" xfId="9" applyNumberFormat="1"/>
    <xf numFmtId="9" fontId="0" fillId="0" borderId="0" xfId="24" applyFont="1"/>
    <xf numFmtId="0" fontId="9" fillId="15" borderId="0" xfId="9" applyFill="1"/>
    <xf numFmtId="9" fontId="0" fillId="0" borderId="0" xfId="16" applyFont="1"/>
    <xf numFmtId="0" fontId="9" fillId="16" borderId="0" xfId="9" applyFill="1"/>
    <xf numFmtId="166" fontId="9" fillId="16" borderId="0" xfId="9" applyNumberFormat="1" applyFill="1"/>
    <xf numFmtId="9" fontId="0" fillId="0" borderId="0" xfId="0" applyNumberFormat="1"/>
    <xf numFmtId="2" fontId="9" fillId="15" borderId="0" xfId="0" applyNumberFormat="1" applyFont="1" applyFill="1"/>
    <xf numFmtId="0" fontId="8" fillId="2" borderId="1" xfId="0" applyFont="1" applyFill="1" applyBorder="1" applyAlignment="1">
      <alignment vertical="center"/>
    </xf>
    <xf numFmtId="0" fontId="10" fillId="0" borderId="0" xfId="0" applyFont="1"/>
    <xf numFmtId="0" fontId="23" fillId="3" borderId="3" xfId="31" applyFont="1" applyBorder="1" applyAlignment="1">
      <alignment horizontal="left" wrapText="1"/>
    </xf>
    <xf numFmtId="0" fontId="23" fillId="3" borderId="1" xfId="31" applyFont="1" applyBorder="1" applyAlignment="1">
      <alignment horizontal="left" wrapText="1"/>
    </xf>
    <xf numFmtId="0" fontId="0" fillId="13" borderId="0" xfId="0" applyFill="1"/>
    <xf numFmtId="1" fontId="20" fillId="8" borderId="10" xfId="7" applyNumberFormat="1"/>
    <xf numFmtId="0" fontId="23" fillId="3" borderId="1" xfId="1" applyFont="1" applyBorder="1" applyAlignment="1">
      <alignment horizontal="left" wrapText="1"/>
    </xf>
    <xf numFmtId="0" fontId="25" fillId="13" borderId="0" xfId="9" applyFont="1" applyFill="1"/>
    <xf numFmtId="0" fontId="28" fillId="17" borderId="0" xfId="0" quotePrefix="1" applyFont="1" applyFill="1"/>
    <xf numFmtId="0" fontId="28" fillId="0" borderId="0" xfId="0" quotePrefix="1" applyFont="1"/>
    <xf numFmtId="0" fontId="10" fillId="0" borderId="0" xfId="0" applyFont="1" applyAlignment="1">
      <alignment horizontal="left"/>
    </xf>
    <xf numFmtId="0" fontId="28" fillId="0" borderId="0" xfId="0" applyFont="1"/>
    <xf numFmtId="0" fontId="8" fillId="2" borderId="3" xfId="11" applyFont="1" applyFill="1" applyBorder="1" applyAlignment="1">
      <alignment horizontal="left" vertical="center"/>
    </xf>
    <xf numFmtId="0" fontId="23" fillId="3" borderId="3" xfId="33" applyFont="1" applyBorder="1" applyAlignment="1">
      <alignment horizontal="left" wrapText="1"/>
    </xf>
    <xf numFmtId="0" fontId="8" fillId="0" borderId="0" xfId="11" applyFont="1" applyAlignment="1">
      <alignment horizontal="left" vertical="center"/>
    </xf>
    <xf numFmtId="2" fontId="0" fillId="13" borderId="0" xfId="0" applyNumberFormat="1" applyFill="1"/>
    <xf numFmtId="0" fontId="26" fillId="18" borderId="0" xfId="0" applyFont="1" applyFill="1"/>
    <xf numFmtId="165" fontId="14" fillId="18" borderId="8" xfId="0" applyNumberFormat="1" applyFont="1" applyFill="1" applyBorder="1" applyAlignment="1">
      <alignment horizontal="left" vertical="center"/>
    </xf>
    <xf numFmtId="1" fontId="0" fillId="18" borderId="0" xfId="0" applyNumberFormat="1" applyFill="1"/>
    <xf numFmtId="1" fontId="8" fillId="18" borderId="0" xfId="0" applyNumberFormat="1" applyFont="1" applyFill="1"/>
    <xf numFmtId="0" fontId="0" fillId="18" borderId="0" xfId="0" applyFill="1"/>
    <xf numFmtId="0" fontId="23" fillId="3" borderId="0" xfId="31" applyFont="1" applyBorder="1" applyAlignment="1">
      <alignment horizontal="left" wrapText="1"/>
    </xf>
    <xf numFmtId="166" fontId="6" fillId="0" borderId="0" xfId="0" applyNumberFormat="1" applyFont="1"/>
    <xf numFmtId="0" fontId="6" fillId="0" borderId="0" xfId="0" applyFont="1"/>
    <xf numFmtId="0" fontId="25" fillId="0" borderId="0" xfId="0" applyFont="1"/>
    <xf numFmtId="166" fontId="25" fillId="0" borderId="0" xfId="0" applyNumberFormat="1" applyFont="1"/>
    <xf numFmtId="166" fontId="25" fillId="0" borderId="0" xfId="0" applyNumberFormat="1" applyFont="1" applyAlignment="1">
      <alignment wrapText="1"/>
    </xf>
    <xf numFmtId="0" fontId="25" fillId="16" borderId="0" xfId="9" applyFont="1" applyFill="1"/>
    <xf numFmtId="166" fontId="25" fillId="0" borderId="0" xfId="9" applyNumberFormat="1" applyFont="1"/>
    <xf numFmtId="2" fontId="25" fillId="0" borderId="0" xfId="9" applyNumberFormat="1" applyFont="1"/>
    <xf numFmtId="9" fontId="25" fillId="16" borderId="0" xfId="24" applyFont="1" applyFill="1"/>
    <xf numFmtId="0" fontId="6" fillId="0" borderId="0" xfId="9" applyFont="1"/>
    <xf numFmtId="0" fontId="29" fillId="0" borderId="0" xfId="0" applyFont="1"/>
    <xf numFmtId="166" fontId="29" fillId="0" borderId="0" xfId="0" applyNumberFormat="1" applyFont="1"/>
    <xf numFmtId="166" fontId="6" fillId="0" borderId="0" xfId="0" applyNumberFormat="1" applyFont="1" applyAlignment="1">
      <alignment wrapText="1"/>
    </xf>
    <xf numFmtId="166" fontId="29" fillId="0" borderId="0" xfId="0" applyNumberFormat="1" applyFont="1" applyAlignment="1">
      <alignment wrapText="1"/>
    </xf>
    <xf numFmtId="166" fontId="30" fillId="0" borderId="0" xfId="0" applyNumberFormat="1" applyFont="1"/>
    <xf numFmtId="0" fontId="8" fillId="16" borderId="0" xfId="0" applyFont="1" applyFill="1"/>
    <xf numFmtId="0" fontId="24" fillId="16" borderId="0" xfId="0" applyFont="1" applyFill="1"/>
    <xf numFmtId="0" fontId="19" fillId="7" borderId="0" xfId="6"/>
    <xf numFmtId="166" fontId="6" fillId="0" borderId="0" xfId="9" applyNumberFormat="1" applyFont="1"/>
    <xf numFmtId="0" fontId="8" fillId="16" borderId="0" xfId="11" applyFont="1" applyFill="1" applyAlignment="1">
      <alignment horizontal="center" vertical="center" wrapText="1"/>
    </xf>
    <xf numFmtId="0" fontId="23" fillId="16" borderId="0" xfId="23" applyFont="1" applyFill="1" applyBorder="1" applyAlignment="1">
      <alignment horizontal="left" wrapText="1"/>
    </xf>
    <xf numFmtId="0" fontId="23" fillId="16" borderId="0" xfId="23" applyFont="1" applyFill="1" applyBorder="1" applyAlignment="1">
      <alignment horizontal="center" wrapText="1"/>
    </xf>
    <xf numFmtId="0" fontId="0" fillId="16" borderId="0" xfId="0" applyFill="1"/>
    <xf numFmtId="0" fontId="8" fillId="16" borderId="0" xfId="0" applyFont="1" applyFill="1" applyAlignment="1">
      <alignment horizontal="center"/>
    </xf>
    <xf numFmtId="0" fontId="23" fillId="16" borderId="0" xfId="1" applyFont="1" applyFill="1" applyBorder="1" applyAlignment="1">
      <alignment horizontal="left" wrapText="1"/>
    </xf>
    <xf numFmtId="0" fontId="23" fillId="16" borderId="0" xfId="1" applyFont="1" applyFill="1" applyBorder="1" applyAlignment="1">
      <alignment horizontal="center" wrapText="1"/>
    </xf>
    <xf numFmtId="2" fontId="9" fillId="16" borderId="0" xfId="0" applyNumberFormat="1" applyFont="1" applyFill="1"/>
    <xf numFmtId="2" fontId="25" fillId="16" borderId="0" xfId="0" applyNumberFormat="1" applyFont="1" applyFill="1"/>
    <xf numFmtId="9" fontId="9" fillId="0" borderId="0" xfId="16" applyFont="1"/>
    <xf numFmtId="166" fontId="29" fillId="0" borderId="0" xfId="9" applyNumberFormat="1" applyFont="1"/>
    <xf numFmtId="1" fontId="25" fillId="16" borderId="0" xfId="8" applyNumberFormat="1" applyFont="1" applyFill="1"/>
    <xf numFmtId="0" fontId="19" fillId="7" borderId="2" xfId="6" applyBorder="1" applyAlignment="1">
      <alignment wrapText="1"/>
    </xf>
    <xf numFmtId="0" fontId="19" fillId="7" borderId="2" xfId="6" applyBorder="1"/>
    <xf numFmtId="1" fontId="19" fillId="7" borderId="1" xfId="6" applyNumberFormat="1" applyBorder="1" applyAlignment="1"/>
    <xf numFmtId="165" fontId="19" fillId="7" borderId="5" xfId="6" applyNumberFormat="1" applyBorder="1" applyAlignment="1">
      <alignment horizontal="right" vertical="center"/>
    </xf>
    <xf numFmtId="1" fontId="19" fillId="7" borderId="0" xfId="6" applyNumberFormat="1"/>
    <xf numFmtId="1" fontId="19" fillId="7" borderId="10" xfId="6" applyNumberFormat="1" applyBorder="1"/>
    <xf numFmtId="1" fontId="19" fillId="7" borderId="11" xfId="6" applyNumberFormat="1" applyBorder="1" applyAlignment="1">
      <alignment horizontal="right"/>
    </xf>
    <xf numFmtId="1" fontId="19" fillId="7" borderId="2" xfId="6" applyNumberFormat="1" applyBorder="1" applyAlignment="1">
      <alignment horizontal="right"/>
    </xf>
    <xf numFmtId="0" fontId="33" fillId="3" borderId="0" xfId="31" applyFont="1" applyBorder="1" applyAlignment="1">
      <alignment horizontal="left" wrapText="1"/>
    </xf>
    <xf numFmtId="0" fontId="6" fillId="0" borderId="2" xfId="9" applyFont="1" applyBorder="1"/>
    <xf numFmtId="0" fontId="23" fillId="3" borderId="0" xfId="33" applyFont="1" applyBorder="1" applyAlignment="1">
      <alignment horizontal="left" wrapText="1"/>
    </xf>
    <xf numFmtId="2" fontId="9" fillId="0" borderId="0" xfId="16" applyNumberFormat="1" applyFont="1"/>
    <xf numFmtId="167" fontId="9" fillId="0" borderId="0" xfId="9" applyNumberFormat="1"/>
    <xf numFmtId="9" fontId="9" fillId="15" borderId="0" xfId="16" applyFont="1" applyFill="1"/>
    <xf numFmtId="2" fontId="35" fillId="16" borderId="0" xfId="0" applyNumberFormat="1" applyFont="1" applyFill="1"/>
    <xf numFmtId="2" fontId="29" fillId="13" borderId="0" xfId="0" applyNumberFormat="1" applyFont="1" applyFill="1"/>
    <xf numFmtId="4" fontId="32" fillId="0" borderId="18" xfId="0" applyNumberFormat="1" applyFont="1" applyBorder="1" applyAlignment="1">
      <alignment vertical="center" wrapText="1"/>
    </xf>
    <xf numFmtId="2" fontId="0" fillId="0" borderId="0" xfId="0" applyNumberFormat="1"/>
    <xf numFmtId="168" fontId="0" fillId="0" borderId="0" xfId="0" applyNumberFormat="1"/>
    <xf numFmtId="2" fontId="8" fillId="0" borderId="0" xfId="0" applyNumberFormat="1" applyFont="1"/>
    <xf numFmtId="2" fontId="0" fillId="16" borderId="0" xfId="0" applyNumberFormat="1" applyFill="1"/>
    <xf numFmtId="0" fontId="36" fillId="0" borderId="0" xfId="0" applyFont="1"/>
    <xf numFmtId="0" fontId="36" fillId="0" borderId="0" xfId="0" applyFont="1" applyAlignment="1">
      <alignment horizontal="center" vertical="center" wrapText="1"/>
    </xf>
  </cellXfs>
  <cellStyles count="37">
    <cellStyle name="20% - Accent5" xfId="1" builtinId="46"/>
    <cellStyle name="20% - Accent5 2" xfId="21" xr:uid="{E1B1E490-7605-42BA-88C1-54B79AE47809}"/>
    <cellStyle name="20% - Accent5 2 2" xfId="31" xr:uid="{9A77BCA1-6431-4844-B2C6-C94657613BD6}"/>
    <cellStyle name="20% - Accent5 3" xfId="23" xr:uid="{DA259BB9-02EC-43FA-87ED-DF1C9674376E}"/>
    <cellStyle name="20% - Accent5 3 2" xfId="32" xr:uid="{11218C35-6A74-4BF8-9F7B-075BB6A7712F}"/>
    <cellStyle name="20% - Accent5 4" xfId="26" xr:uid="{ABDC135E-9A4A-4078-8504-7FAED0F441DB}"/>
    <cellStyle name="20% - Accent5 5" xfId="33" xr:uid="{CC4422F1-4577-475D-9062-5705E5BAA574}"/>
    <cellStyle name="60% - Accent2" xfId="2" builtinId="36"/>
    <cellStyle name="Accent2" xfId="3" builtinId="33"/>
    <cellStyle name="Calculation" xfId="4" builtinId="22"/>
    <cellStyle name="Comma 2" xfId="5" xr:uid="{00000000-0005-0000-0000-000004000000}"/>
    <cellStyle name="Comma 2 2" xfId="27" xr:uid="{0F81714B-A75F-4A57-A4C6-D6B684BC4CCE}"/>
    <cellStyle name="Good" xfId="6" builtinId="26"/>
    <cellStyle name="Input" xfId="7" builtinId="20"/>
    <cellStyle name="Neutral" xfId="8" builtinId="28"/>
    <cellStyle name="Neutral 2" xfId="35" xr:uid="{C1DC5935-F309-44A6-A701-237C078652F0}"/>
    <cellStyle name="Normal" xfId="0" builtinId="0"/>
    <cellStyle name="Normal 10" xfId="9" xr:uid="{00000000-0005-0000-0000-000009000000}"/>
    <cellStyle name="Normal 2" xfId="10" xr:uid="{00000000-0005-0000-0000-00000A000000}"/>
    <cellStyle name="Normal 3" xfId="34" xr:uid="{ED2C9E69-5A16-4B2B-91BC-67F307016A3C}"/>
    <cellStyle name="Normal 4" xfId="11" xr:uid="{00000000-0005-0000-0000-00000B000000}"/>
    <cellStyle name="Normal 4 2" xfId="12" xr:uid="{00000000-0005-0000-0000-00000C000000}"/>
    <cellStyle name="Normal 8" xfId="13" xr:uid="{00000000-0005-0000-0000-00000D000000}"/>
    <cellStyle name="Normal 8 2" xfId="28" xr:uid="{C94D68A9-0F9F-49C7-A496-97D6E4CFF1B0}"/>
    <cellStyle name="Normal 9 2" xfId="14" xr:uid="{00000000-0005-0000-0000-00000E000000}"/>
    <cellStyle name="Normale_B2020" xfId="15" xr:uid="{00000000-0005-0000-0000-00000F000000}"/>
    <cellStyle name="Per cent" xfId="16" builtinId="5"/>
    <cellStyle name="Per cent 2" xfId="24" xr:uid="{2C564A4B-D800-4EE4-B939-9255D7A664BB}"/>
    <cellStyle name="Per cent 3" xfId="36" xr:uid="{030604DF-87E3-428A-B61C-D3C093606D31}"/>
    <cellStyle name="Percent 2" xfId="17" xr:uid="{00000000-0005-0000-0000-000011000000}"/>
    <cellStyle name="Percent 3" xfId="18" xr:uid="{00000000-0005-0000-0000-000012000000}"/>
    <cellStyle name="Percent 3 2" xfId="29" xr:uid="{E6B199C5-EFD9-4EA1-A159-C95FD8F6F260}"/>
    <cellStyle name="Percent 4" xfId="19" xr:uid="{00000000-0005-0000-0000-000013000000}"/>
    <cellStyle name="Percent 4 2" xfId="30" xr:uid="{79737ADA-DDDA-4EF8-B7E2-486C4D5F412E}"/>
    <cellStyle name="Percent 6" xfId="22" xr:uid="{1EB895F0-BE60-4B32-9DA6-CE069C17C0AF}"/>
    <cellStyle name="Percent 6 2" xfId="25" xr:uid="{A427AE73-DCB2-44C3-B181-2DC8B589E0A8}"/>
    <cellStyle name="Standard_Sce_D_Extraction" xfId="20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632398</xdr:colOff>
      <xdr:row>34</xdr:row>
      <xdr:rowOff>2204</xdr:rowOff>
    </xdr:from>
    <xdr:to>
      <xdr:col>10</xdr:col>
      <xdr:colOff>492211</xdr:colOff>
      <xdr:row>38</xdr:row>
      <xdr:rowOff>60241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90E7F65-5119-4650-B5C2-821A0202B5DC}"/>
            </a:ext>
          </a:extLst>
        </xdr:cNvPr>
        <xdr:cNvSpPr txBox="1"/>
      </xdr:nvSpPr>
      <xdr:spPr>
        <a:xfrm>
          <a:off x="7744918" y="6388638"/>
          <a:ext cx="3685428" cy="80754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129540</xdr:colOff>
      <xdr:row>38</xdr:row>
      <xdr:rowOff>137160</xdr:rowOff>
    </xdr:from>
    <xdr:to>
      <xdr:col>16</xdr:col>
      <xdr:colOff>133299</xdr:colOff>
      <xdr:row>41</xdr:row>
      <xdr:rowOff>39688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1532F4-B1A0-4E92-B4DB-A991FCA8A989}"/>
            </a:ext>
          </a:extLst>
        </xdr:cNvPr>
        <xdr:cNvSpPr txBox="1"/>
      </xdr:nvSpPr>
      <xdr:spPr>
        <a:xfrm>
          <a:off x="9138603" y="7092394"/>
          <a:ext cx="5728680" cy="37877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coal, oil and ElC an energy commodities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516548</xdr:colOff>
      <xdr:row>36</xdr:row>
      <xdr:rowOff>65943</xdr:rowOff>
    </xdr:from>
    <xdr:to>
      <xdr:col>26</xdr:col>
      <xdr:colOff>3771674</xdr:colOff>
      <xdr:row>41</xdr:row>
      <xdr:rowOff>142143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8BD8A5-11CE-4C5F-8581-1EACE2C1D75C}"/>
            </a:ext>
          </a:extLst>
        </xdr:cNvPr>
        <xdr:cNvSpPr txBox="1"/>
      </xdr:nvSpPr>
      <xdr:spPr>
        <a:xfrm>
          <a:off x="10498748" y="4287423"/>
          <a:ext cx="5952606" cy="914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industry sector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demand commodity and an industry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industrial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7</xdr:col>
      <xdr:colOff>381000</xdr:colOff>
      <xdr:row>16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A0B9D3-D018-429C-864E-35772BF3A006}"/>
            </a:ext>
          </a:extLst>
        </xdr:cNvPr>
        <xdr:cNvSpPr txBox="1"/>
      </xdr:nvSpPr>
      <xdr:spPr>
        <a:xfrm>
          <a:off x="609600" y="2200275"/>
          <a:ext cx="4419600" cy="5791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A534-E44A-461C-9315-2313911B2BEB}">
  <dimension ref="B1:R67"/>
  <sheetViews>
    <sheetView zoomScale="122" zoomScaleNormal="122" workbookViewId="0">
      <selection activeCell="G29" sqref="G29"/>
    </sheetView>
  </sheetViews>
  <sheetFormatPr defaultRowHeight="13.2" x14ac:dyDescent="0.25"/>
  <cols>
    <col min="1" max="1" width="3" bestFit="1" customWidth="1"/>
    <col min="2" max="2" width="16.5546875" bestFit="1" customWidth="1"/>
    <col min="3" max="3" width="40.109375" bestFit="1" customWidth="1"/>
    <col min="4" max="4" width="13.33203125" customWidth="1"/>
    <col min="5" max="8" width="15.44140625" customWidth="1"/>
    <col min="9" max="10" width="13.33203125" customWidth="1"/>
    <col min="11" max="11" width="10.5546875" customWidth="1"/>
    <col min="12" max="12" width="10.88671875" customWidth="1"/>
    <col min="13" max="13" width="15.5546875" bestFit="1" customWidth="1"/>
    <col min="14" max="14" width="2" bestFit="1" customWidth="1"/>
    <col min="15" max="15" width="12.33203125" bestFit="1" customWidth="1"/>
    <col min="17" max="17" width="6.6640625" bestFit="1" customWidth="1"/>
    <col min="18" max="18" width="9.33203125" bestFit="1" customWidth="1"/>
    <col min="19" max="19" width="2" bestFit="1" customWidth="1"/>
  </cols>
  <sheetData>
    <row r="1" spans="2:18" x14ac:dyDescent="0.25">
      <c r="O1" s="12"/>
      <c r="P1" s="1"/>
      <c r="Q1" s="1"/>
      <c r="R1" s="1"/>
    </row>
    <row r="2" spans="2:18" x14ac:dyDescent="0.25">
      <c r="D2" s="27" t="s">
        <v>44</v>
      </c>
      <c r="E2" s="27" t="s">
        <v>45</v>
      </c>
      <c r="F2" s="27" t="s">
        <v>117</v>
      </c>
      <c r="G2" s="27" t="s">
        <v>127</v>
      </c>
      <c r="H2" s="27" t="s">
        <v>128</v>
      </c>
      <c r="I2" s="27" t="s">
        <v>119</v>
      </c>
      <c r="J2" s="27" t="s">
        <v>46</v>
      </c>
      <c r="K2" s="20"/>
    </row>
    <row r="3" spans="2:18" x14ac:dyDescent="0.25">
      <c r="C3" s="4"/>
      <c r="D3" s="28" t="s">
        <v>155</v>
      </c>
      <c r="E3" s="28" t="s">
        <v>115</v>
      </c>
      <c r="F3" s="28" t="s">
        <v>118</v>
      </c>
      <c r="G3" s="28" t="s">
        <v>129</v>
      </c>
      <c r="H3" s="28" t="s">
        <v>130</v>
      </c>
      <c r="I3" s="28" t="s">
        <v>114</v>
      </c>
      <c r="J3" s="28" t="s">
        <v>85</v>
      </c>
      <c r="K3" s="22" t="s">
        <v>48</v>
      </c>
    </row>
    <row r="4" spans="2:18" x14ac:dyDescent="0.25">
      <c r="C4" s="57" t="s">
        <v>49</v>
      </c>
      <c r="E4" s="54"/>
      <c r="F4" s="4"/>
      <c r="G4" s="4"/>
      <c r="H4" s="4"/>
      <c r="I4" s="4"/>
      <c r="J4" s="4"/>
      <c r="K4" s="4"/>
    </row>
    <row r="5" spans="2:18" ht="14.4" x14ac:dyDescent="0.3">
      <c r="B5" s="29" t="s">
        <v>50</v>
      </c>
      <c r="C5" s="58" t="s">
        <v>51</v>
      </c>
      <c r="D5" s="55">
        <v>16266.24</v>
      </c>
      <c r="E5" s="25">
        <v>0</v>
      </c>
      <c r="F5" s="25">
        <v>60374.92</v>
      </c>
      <c r="G5" s="25">
        <v>126</v>
      </c>
      <c r="H5" s="25">
        <v>1904.4</v>
      </c>
      <c r="I5" s="25">
        <v>1736171.912</v>
      </c>
      <c r="J5" s="25">
        <f>F5+G5+H5</f>
        <v>62405.32</v>
      </c>
      <c r="K5" s="26">
        <f>SUM(D5:J5)</f>
        <v>1877248.7920000001</v>
      </c>
      <c r="O5" s="5"/>
    </row>
    <row r="6" spans="2:18" ht="14.4" x14ac:dyDescent="0.3">
      <c r="B6" s="29" t="s">
        <v>52</v>
      </c>
      <c r="C6" s="58" t="s">
        <v>53</v>
      </c>
      <c r="D6" s="35">
        <v>11367.581</v>
      </c>
      <c r="E6" s="25">
        <v>213670.36799999999</v>
      </c>
      <c r="F6" s="25"/>
      <c r="G6" s="25"/>
      <c r="H6" s="25"/>
      <c r="I6" s="25"/>
      <c r="J6" s="25">
        <v>0</v>
      </c>
      <c r="K6" s="26">
        <f>SUM(D6:J6)</f>
        <v>225037.94899999999</v>
      </c>
    </row>
    <row r="7" spans="2:18" ht="14.4" x14ac:dyDescent="0.3">
      <c r="B7" s="29" t="s">
        <v>116</v>
      </c>
      <c r="C7" s="58" t="s">
        <v>120</v>
      </c>
      <c r="D7" s="35"/>
      <c r="E7" s="25"/>
      <c r="F7" s="25"/>
      <c r="G7" s="25"/>
      <c r="H7" s="25"/>
      <c r="I7" s="25"/>
      <c r="J7" s="25">
        <v>-6300</v>
      </c>
      <c r="K7" s="26"/>
    </row>
    <row r="8" spans="2:18" ht="14.4" x14ac:dyDescent="0.3">
      <c r="B8" s="53" t="s">
        <v>110</v>
      </c>
      <c r="C8" s="38" t="s">
        <v>111</v>
      </c>
      <c r="D8" s="37">
        <f>SUM(D5:D6)</f>
        <v>27633.821</v>
      </c>
      <c r="E8" s="37">
        <f t="shared" ref="E8:K8" si="0">SUM(E5:E6)</f>
        <v>213670.36799999999</v>
      </c>
      <c r="F8" s="37">
        <f t="shared" si="0"/>
        <v>60374.92</v>
      </c>
      <c r="G8" s="37">
        <f>SUM(G5:G7)</f>
        <v>126</v>
      </c>
      <c r="H8" s="37">
        <f>SUM(H5:H7)</f>
        <v>1904.4</v>
      </c>
      <c r="I8" s="37">
        <f>SUM(I5:I7)</f>
        <v>1736171.912</v>
      </c>
      <c r="J8" s="37">
        <f>SUM(J5:J7)</f>
        <v>56105.32</v>
      </c>
      <c r="K8" s="37">
        <f t="shared" si="0"/>
        <v>2102286.7409999999</v>
      </c>
    </row>
    <row r="9" spans="2:18" x14ac:dyDescent="0.25">
      <c r="B9" s="23"/>
      <c r="C9" s="59" t="s">
        <v>54</v>
      </c>
      <c r="D9" s="4"/>
      <c r="E9" s="4"/>
      <c r="F9" s="4"/>
      <c r="G9" s="4"/>
      <c r="H9" s="4"/>
      <c r="I9" s="4"/>
      <c r="J9" s="4"/>
      <c r="K9" s="39"/>
    </row>
    <row r="10" spans="2:18" x14ac:dyDescent="0.25">
      <c r="B10" s="29" t="s">
        <v>55</v>
      </c>
      <c r="C10" s="42" t="s">
        <v>56</v>
      </c>
      <c r="D10" s="30"/>
      <c r="E10" s="30"/>
      <c r="F10" s="30"/>
      <c r="G10" s="30"/>
      <c r="H10" s="30"/>
      <c r="I10" s="30"/>
      <c r="J10" s="30">
        <v>-209</v>
      </c>
      <c r="K10" s="31">
        <f>SUM(D10:J10)</f>
        <v>-209</v>
      </c>
    </row>
    <row r="11" spans="2:18" x14ac:dyDescent="0.25">
      <c r="B11" s="29" t="s">
        <v>46</v>
      </c>
      <c r="C11" s="43" t="s">
        <v>57</v>
      </c>
      <c r="D11" s="30"/>
      <c r="E11" s="30">
        <v>-7.2</v>
      </c>
      <c r="F11" s="30">
        <f>-F8</f>
        <v>-60374.92</v>
      </c>
      <c r="G11" s="30">
        <f>-G5</f>
        <v>-126</v>
      </c>
      <c r="H11" s="30">
        <f>-H5</f>
        <v>-1904.4</v>
      </c>
      <c r="I11" s="30"/>
      <c r="J11" s="30">
        <f>J5-J7</f>
        <v>68705.320000000007</v>
      </c>
      <c r="K11" s="31">
        <f t="shared" ref="K11:K13" si="1">SUM(D11:J11)</f>
        <v>6292.8000000000102</v>
      </c>
    </row>
    <row r="12" spans="2:18" x14ac:dyDescent="0.25">
      <c r="B12" s="29" t="s">
        <v>58</v>
      </c>
      <c r="C12" s="43" t="s">
        <v>126</v>
      </c>
      <c r="D12" s="30">
        <v>-27634</v>
      </c>
      <c r="E12" s="30">
        <f>-E8+E11</f>
        <v>-213677.568</v>
      </c>
      <c r="F12" s="30"/>
      <c r="G12" s="30"/>
      <c r="H12" s="30"/>
      <c r="I12" s="30">
        <f>-I8</f>
        <v>-1736171.912</v>
      </c>
      <c r="J12" s="30">
        <v>0</v>
      </c>
      <c r="K12" s="31">
        <f t="shared" si="1"/>
        <v>-1977483.48</v>
      </c>
    </row>
    <row r="13" spans="2:18" ht="14.4" x14ac:dyDescent="0.3">
      <c r="B13" s="23"/>
      <c r="C13" s="38" t="s">
        <v>59</v>
      </c>
      <c r="D13" s="56">
        <f>SUM(D10:D12)</f>
        <v>-27634</v>
      </c>
      <c r="E13" s="40">
        <f>SUM(E10:E12)</f>
        <v>-213684.76800000001</v>
      </c>
      <c r="F13" s="40">
        <f t="shared" ref="F13:I13" si="2">SUM(F10:F12)</f>
        <v>-60374.92</v>
      </c>
      <c r="G13" s="40">
        <f t="shared" si="2"/>
        <v>-126</v>
      </c>
      <c r="H13" s="40">
        <f t="shared" si="2"/>
        <v>-1904.4</v>
      </c>
      <c r="I13" s="40">
        <f t="shared" si="2"/>
        <v>-1736171.912</v>
      </c>
      <c r="J13" s="40">
        <f>SUM(J10:J12)</f>
        <v>68496.320000000007</v>
      </c>
      <c r="K13" s="31">
        <f t="shared" si="1"/>
        <v>-1971399.6799999999</v>
      </c>
    </row>
    <row r="14" spans="2:18" x14ac:dyDescent="0.25">
      <c r="B14" s="23"/>
      <c r="C14" s="59" t="s">
        <v>60</v>
      </c>
      <c r="D14" s="4"/>
      <c r="E14" s="4"/>
      <c r="F14" s="4"/>
      <c r="G14" s="4"/>
      <c r="H14" s="4"/>
      <c r="I14" s="4"/>
      <c r="J14" s="4"/>
      <c r="K14" s="39"/>
    </row>
    <row r="15" spans="2:18" x14ac:dyDescent="0.25">
      <c r="B15" s="29" t="s">
        <v>61</v>
      </c>
      <c r="C15" s="44" t="s">
        <v>62</v>
      </c>
      <c r="D15" s="32"/>
      <c r="E15" s="32">
        <v>4898.5519999999997</v>
      </c>
      <c r="F15" s="32"/>
      <c r="G15" s="32"/>
      <c r="H15" s="32"/>
      <c r="I15" s="32">
        <v>1388448.865</v>
      </c>
      <c r="J15" s="32">
        <v>21938.831999999999</v>
      </c>
      <c r="K15" s="34">
        <f t="shared" ref="K15:K24" si="3">SUM(D15:J15)</f>
        <v>1415286.2489999998</v>
      </c>
    </row>
    <row r="16" spans="2:18" x14ac:dyDescent="0.25">
      <c r="B16" s="29" t="s">
        <v>63</v>
      </c>
      <c r="C16" s="45" t="s">
        <v>64</v>
      </c>
      <c r="D16" s="32"/>
      <c r="E16" s="32">
        <v>3076.8539999999998</v>
      </c>
      <c r="F16" s="32"/>
      <c r="G16" s="32"/>
      <c r="H16" s="32"/>
      <c r="I16" s="32">
        <v>15030.37</v>
      </c>
      <c r="J16" s="32">
        <v>9252.8279999999995</v>
      </c>
      <c r="K16" s="34">
        <f t="shared" si="3"/>
        <v>27360.052000000003</v>
      </c>
    </row>
    <row r="17" spans="2:11" x14ac:dyDescent="0.25">
      <c r="B17" s="29" t="s">
        <v>65</v>
      </c>
      <c r="C17" s="45" t="s">
        <v>66</v>
      </c>
      <c r="D17" s="32"/>
      <c r="E17" s="32"/>
      <c r="F17" s="32"/>
      <c r="G17" s="32"/>
      <c r="H17" s="32"/>
      <c r="I17" s="32"/>
      <c r="J17" s="32"/>
      <c r="K17" s="34">
        <f t="shared" si="3"/>
        <v>0</v>
      </c>
    </row>
    <row r="18" spans="2:11" x14ac:dyDescent="0.25">
      <c r="B18" s="29" t="s">
        <v>121</v>
      </c>
      <c r="C18" s="45" t="s">
        <v>122</v>
      </c>
      <c r="D18" s="32">
        <v>27634.417000000001</v>
      </c>
      <c r="E18" s="32">
        <v>9378.4320000000007</v>
      </c>
      <c r="F18" s="32"/>
      <c r="G18" s="32"/>
      <c r="H18" s="32"/>
      <c r="I18" s="32"/>
      <c r="J18" s="32">
        <v>10301.619499999999</v>
      </c>
      <c r="K18" s="34">
        <f t="shared" si="3"/>
        <v>47314.468500000003</v>
      </c>
    </row>
    <row r="19" spans="2:11" x14ac:dyDescent="0.25">
      <c r="B19" s="29" t="s">
        <v>123</v>
      </c>
      <c r="C19" s="45" t="s">
        <v>124</v>
      </c>
      <c r="D19" s="32"/>
      <c r="E19" s="32">
        <v>31613.267999999996</v>
      </c>
      <c r="F19" s="32"/>
      <c r="G19" s="32"/>
      <c r="H19" s="32"/>
      <c r="I19" s="32"/>
      <c r="J19" s="32">
        <v>542.19050000000061</v>
      </c>
      <c r="K19" s="34">
        <f t="shared" si="3"/>
        <v>32155.458499999997</v>
      </c>
    </row>
    <row r="20" spans="2:11" x14ac:dyDescent="0.25">
      <c r="B20" s="29" t="s">
        <v>67</v>
      </c>
      <c r="C20" s="45" t="s">
        <v>125</v>
      </c>
      <c r="D20" s="32"/>
      <c r="E20" s="32">
        <v>7289.8130000000001</v>
      </c>
      <c r="F20" s="32"/>
      <c r="G20" s="32"/>
      <c r="H20" s="32"/>
      <c r="I20" s="32"/>
      <c r="J20" s="32"/>
      <c r="K20" s="34">
        <f t="shared" si="3"/>
        <v>7289.8130000000001</v>
      </c>
    </row>
    <row r="21" spans="2:11" x14ac:dyDescent="0.25">
      <c r="B21" s="29" t="s">
        <v>68</v>
      </c>
      <c r="C21" s="45" t="s">
        <v>69</v>
      </c>
      <c r="D21" s="32"/>
      <c r="E21" s="32">
        <v>100365.844</v>
      </c>
      <c r="F21" s="32"/>
      <c r="G21" s="32"/>
      <c r="H21" s="32"/>
      <c r="I21" s="32">
        <v>399.02699999999999</v>
      </c>
      <c r="J21" s="32">
        <v>167.47200000000001</v>
      </c>
      <c r="K21" s="34">
        <f t="shared" si="3"/>
        <v>100932.34299999999</v>
      </c>
    </row>
    <row r="22" spans="2:11" x14ac:dyDescent="0.25">
      <c r="B22" s="29" t="s">
        <v>70</v>
      </c>
      <c r="C22" s="46" t="s">
        <v>71</v>
      </c>
      <c r="D22" s="33"/>
      <c r="E22" s="32">
        <v>7289.8130000000001</v>
      </c>
      <c r="F22" s="32"/>
      <c r="G22" s="32"/>
      <c r="H22" s="32"/>
      <c r="I22" s="32"/>
      <c r="J22" s="32"/>
      <c r="K22" s="34">
        <f t="shared" si="3"/>
        <v>7289.8130000000001</v>
      </c>
    </row>
    <row r="23" spans="2:11" x14ac:dyDescent="0.25">
      <c r="B23" s="29" t="s">
        <v>83</v>
      </c>
      <c r="C23" s="45" t="s">
        <v>72</v>
      </c>
      <c r="D23" s="32"/>
      <c r="E23" s="71">
        <v>4304.424</v>
      </c>
      <c r="F23" s="71"/>
      <c r="G23" s="71"/>
      <c r="H23" s="71"/>
      <c r="I23" s="71"/>
      <c r="J23" s="71"/>
      <c r="K23" s="34">
        <f t="shared" si="3"/>
        <v>4304.424</v>
      </c>
    </row>
    <row r="24" spans="2:11" x14ac:dyDescent="0.25">
      <c r="B24" s="29" t="s">
        <v>84</v>
      </c>
      <c r="C24" s="45" t="s">
        <v>73</v>
      </c>
      <c r="D24" s="32"/>
      <c r="E24" s="33">
        <v>45897</v>
      </c>
      <c r="F24" s="33"/>
      <c r="G24" s="33"/>
      <c r="H24" s="33"/>
      <c r="I24" s="33"/>
      <c r="J24" s="33"/>
      <c r="K24" s="34">
        <f t="shared" si="3"/>
        <v>45897</v>
      </c>
    </row>
    <row r="25" spans="2:11" ht="14.4" x14ac:dyDescent="0.3">
      <c r="B25" s="53" t="s">
        <v>86</v>
      </c>
      <c r="C25" s="38" t="s">
        <v>112</v>
      </c>
      <c r="D25" s="36">
        <f t="shared" ref="D25:K25" si="4">SUM(D15:D24)</f>
        <v>27634.417000000001</v>
      </c>
      <c r="E25" s="72">
        <f t="shared" si="4"/>
        <v>214114</v>
      </c>
      <c r="F25" s="72"/>
      <c r="G25" s="72"/>
      <c r="H25" s="72"/>
      <c r="I25" s="72">
        <f>SUM(I15:I24)</f>
        <v>1403878.2620000001</v>
      </c>
      <c r="J25" s="72">
        <f>SUM(J15:J24)</f>
        <v>42202.942000000003</v>
      </c>
      <c r="K25" s="73">
        <f t="shared" si="4"/>
        <v>1687829.6209999998</v>
      </c>
    </row>
    <row r="26" spans="2:11" x14ac:dyDescent="0.25">
      <c r="D26" s="5"/>
      <c r="E26" s="5"/>
      <c r="F26" s="5"/>
      <c r="G26" s="5"/>
      <c r="H26" s="5"/>
      <c r="I26" s="5"/>
      <c r="J26" s="5"/>
      <c r="K26" s="5"/>
    </row>
    <row r="49" spans="10:11" x14ac:dyDescent="0.25">
      <c r="J49" s="109"/>
      <c r="K49" s="112"/>
    </row>
    <row r="50" spans="10:11" x14ac:dyDescent="0.25">
      <c r="J50" s="109"/>
      <c r="K50" s="112"/>
    </row>
    <row r="51" spans="10:11" x14ac:dyDescent="0.25">
      <c r="J51" s="109"/>
      <c r="K51" s="112"/>
    </row>
    <row r="52" spans="10:11" x14ac:dyDescent="0.25">
      <c r="J52" s="109"/>
      <c r="K52" s="112"/>
    </row>
    <row r="53" spans="10:11" x14ac:dyDescent="0.25">
      <c r="J53" s="109"/>
      <c r="K53" s="112"/>
    </row>
    <row r="54" spans="10:11" x14ac:dyDescent="0.25">
      <c r="J54" s="109"/>
      <c r="K54" s="112"/>
    </row>
    <row r="55" spans="10:11" x14ac:dyDescent="0.25">
      <c r="J55" s="109"/>
      <c r="K55" s="112"/>
    </row>
    <row r="56" spans="10:11" x14ac:dyDescent="0.25">
      <c r="J56" s="109"/>
      <c r="K56" s="112"/>
    </row>
    <row r="57" spans="10:11" x14ac:dyDescent="0.25">
      <c r="J57" s="109"/>
      <c r="K57" s="112"/>
    </row>
    <row r="58" spans="10:11" x14ac:dyDescent="0.25">
      <c r="J58" s="109"/>
      <c r="K58" s="112"/>
    </row>
    <row r="59" spans="10:11" x14ac:dyDescent="0.25">
      <c r="J59" s="109"/>
      <c r="K59" s="112"/>
    </row>
    <row r="60" spans="10:11" x14ac:dyDescent="0.25">
      <c r="J60" s="109"/>
      <c r="K60" s="112"/>
    </row>
    <row r="61" spans="10:11" x14ac:dyDescent="0.25">
      <c r="J61" s="109"/>
      <c r="K61" s="112"/>
    </row>
    <row r="62" spans="10:11" x14ac:dyDescent="0.25">
      <c r="J62" s="109"/>
      <c r="K62" s="112"/>
    </row>
    <row r="63" spans="10:11" x14ac:dyDescent="0.25">
      <c r="J63" s="109"/>
      <c r="K63" s="112"/>
    </row>
    <row r="65" spans="2:5" x14ac:dyDescent="0.25">
      <c r="C65" s="78" t="s">
        <v>134</v>
      </c>
      <c r="D65" s="79" t="s">
        <v>135</v>
      </c>
      <c r="E65" s="80" t="s">
        <v>136</v>
      </c>
    </row>
    <row r="66" spans="2:5" x14ac:dyDescent="0.25">
      <c r="B66" s="12" t="s">
        <v>133</v>
      </c>
      <c r="C66" s="81" t="s">
        <v>137</v>
      </c>
      <c r="D66" s="81" t="s">
        <v>138</v>
      </c>
      <c r="E66" s="82" t="s">
        <v>136</v>
      </c>
    </row>
    <row r="67" spans="2:5" x14ac:dyDescent="0.25">
      <c r="B67" s="29" t="s">
        <v>121</v>
      </c>
      <c r="C67" s="83">
        <v>1</v>
      </c>
      <c r="D67" s="84"/>
      <c r="E67" s="8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55"/>
  <sheetViews>
    <sheetView topLeftCell="A51" zoomScale="122" zoomScaleNormal="122" workbookViewId="0">
      <selection activeCell="E57" sqref="E57"/>
    </sheetView>
  </sheetViews>
  <sheetFormatPr defaultRowHeight="14.4" x14ac:dyDescent="0.3"/>
  <cols>
    <col min="1" max="1" width="3" bestFit="1" customWidth="1"/>
    <col min="2" max="2" width="19.33203125" bestFit="1" customWidth="1"/>
    <col min="3" max="3" width="45.88671875" bestFit="1" customWidth="1"/>
    <col min="4" max="4" width="13.33203125" customWidth="1"/>
    <col min="5" max="6" width="15.44140625" customWidth="1"/>
    <col min="7" max="7" width="15.44140625" style="153" customWidth="1"/>
    <col min="8" max="8" width="15.44140625" customWidth="1"/>
    <col min="9" max="10" width="13.33203125" customWidth="1"/>
    <col min="11" max="11" width="16" bestFit="1" customWidth="1"/>
    <col min="12" max="12" width="45.88671875" bestFit="1" customWidth="1"/>
    <col min="13" max="13" width="5.88671875" bestFit="1" customWidth="1"/>
    <col min="14" max="14" width="12.33203125" bestFit="1" customWidth="1"/>
    <col min="15" max="15" width="14" bestFit="1" customWidth="1"/>
    <col min="16" max="16" width="6.6640625" bestFit="1" customWidth="1"/>
    <col min="17" max="17" width="9.33203125" bestFit="1" customWidth="1"/>
    <col min="18" max="18" width="2" bestFit="1" customWidth="1"/>
  </cols>
  <sheetData>
    <row r="1" spans="2:17" x14ac:dyDescent="0.3">
      <c r="N1" s="12" t="s">
        <v>90</v>
      </c>
      <c r="O1" s="1" t="s">
        <v>91</v>
      </c>
      <c r="P1" s="1" t="s">
        <v>92</v>
      </c>
      <c r="Q1" s="1" t="s">
        <v>93</v>
      </c>
    </row>
    <row r="2" spans="2:17" ht="15.6" x14ac:dyDescent="0.3">
      <c r="D2" s="27" t="s">
        <v>44</v>
      </c>
      <c r="E2" s="27" t="s">
        <v>45</v>
      </c>
      <c r="F2" s="27" t="s">
        <v>117</v>
      </c>
      <c r="G2" s="167" t="s">
        <v>127</v>
      </c>
      <c r="H2" s="27" t="s">
        <v>128</v>
      </c>
      <c r="I2" s="27" t="s">
        <v>119</v>
      </c>
      <c r="J2" s="27" t="s">
        <v>46</v>
      </c>
      <c r="K2" s="20"/>
      <c r="O2" s="24" t="s">
        <v>252</v>
      </c>
      <c r="P2" s="7" t="s">
        <v>148</v>
      </c>
      <c r="Q2" s="7" t="s">
        <v>206</v>
      </c>
    </row>
    <row r="3" spans="2:17" x14ac:dyDescent="0.3">
      <c r="C3" s="4"/>
      <c r="D3" s="28" t="s">
        <v>155</v>
      </c>
      <c r="E3" s="28" t="s">
        <v>115</v>
      </c>
      <c r="F3" s="28" t="s">
        <v>118</v>
      </c>
      <c r="G3" s="167" t="s">
        <v>129</v>
      </c>
      <c r="H3" s="28" t="s">
        <v>130</v>
      </c>
      <c r="I3" s="28" t="s">
        <v>114</v>
      </c>
      <c r="J3" s="28" t="s">
        <v>85</v>
      </c>
      <c r="K3" s="22" t="s">
        <v>48</v>
      </c>
    </row>
    <row r="4" spans="2:17" x14ac:dyDescent="0.3">
      <c r="C4" s="57" t="s">
        <v>49</v>
      </c>
      <c r="E4" s="54"/>
      <c r="F4" s="4"/>
      <c r="G4" s="168"/>
      <c r="H4" s="4"/>
      <c r="I4" s="4"/>
      <c r="J4" s="4"/>
      <c r="K4" s="4"/>
    </row>
    <row r="5" spans="2:17" x14ac:dyDescent="0.3">
      <c r="B5" s="29" t="s">
        <v>50</v>
      </c>
      <c r="C5" s="58" t="s">
        <v>51</v>
      </c>
      <c r="D5" s="55">
        <f>'EBF TJ'!D5*0.2777778</f>
        <v>4518.4003614720004</v>
      </c>
      <c r="E5" s="55">
        <f>'EBF TJ'!E5*0.2777778</f>
        <v>0</v>
      </c>
      <c r="F5" s="55">
        <f>'EBF TJ'!F5*0.2777778</f>
        <v>16770.812452776001</v>
      </c>
      <c r="G5" s="169">
        <f>'EBF TJ'!G5*0.2777778</f>
        <v>35.000002800000004</v>
      </c>
      <c r="H5" s="55">
        <f>'EBF TJ'!H5*0.2777778</f>
        <v>529.00004232000003</v>
      </c>
      <c r="I5" s="55">
        <f>'EBF TJ'!I5*0.2777778</f>
        <v>482270.01413715363</v>
      </c>
      <c r="J5" s="55">
        <f>'EBF TJ'!J5*0.2777778</f>
        <v>17334.812497896</v>
      </c>
      <c r="K5" s="26">
        <f>SUM(D5:J5)</f>
        <v>521458.03949441767</v>
      </c>
      <c r="N5" s="5"/>
    </row>
    <row r="6" spans="2:17" x14ac:dyDescent="0.3">
      <c r="B6" s="29" t="s">
        <v>52</v>
      </c>
      <c r="C6" s="58" t="s">
        <v>53</v>
      </c>
      <c r="D6" s="55">
        <f>'EBF TJ'!D6*0.2777778</f>
        <v>3157.6616415018002</v>
      </c>
      <c r="E6" s="55">
        <f>'EBF TJ'!E6*0.2777778</f>
        <v>59352.884748230397</v>
      </c>
      <c r="F6" s="55">
        <f>'EBF TJ'!F6*0.2777778</f>
        <v>0</v>
      </c>
      <c r="G6" s="169">
        <f>'EBF TJ'!G6*0.2777778</f>
        <v>0</v>
      </c>
      <c r="H6" s="55">
        <f>'EBF TJ'!H6*0.2777778</f>
        <v>0</v>
      </c>
      <c r="I6" s="55">
        <f>'EBF TJ'!I6*0.2777778</f>
        <v>0</v>
      </c>
      <c r="J6" s="55">
        <f>'EBF TJ'!J6*0.2777778</f>
        <v>0</v>
      </c>
      <c r="K6" s="26">
        <f>SUM(D6:J6)</f>
        <v>62510.546389732197</v>
      </c>
    </row>
    <row r="7" spans="2:17" x14ac:dyDescent="0.3">
      <c r="B7" s="29" t="s">
        <v>116</v>
      </c>
      <c r="C7" s="58" t="s">
        <v>120</v>
      </c>
      <c r="D7" s="55">
        <f>'EBF TJ'!D7*0.2777778</f>
        <v>0</v>
      </c>
      <c r="E7" s="55">
        <f>'EBF TJ'!E7*0.2777778</f>
        <v>0</v>
      </c>
      <c r="F7" s="55">
        <f>'EBF TJ'!F7*0.2777778</f>
        <v>0</v>
      </c>
      <c r="G7" s="169">
        <f>'EBF TJ'!G7*0.2777778</f>
        <v>0</v>
      </c>
      <c r="H7" s="55">
        <f>'EBF TJ'!H7*0.2777778</f>
        <v>0</v>
      </c>
      <c r="I7" s="55">
        <f>'EBF TJ'!I7*0.2777778</f>
        <v>0</v>
      </c>
      <c r="J7" s="55">
        <f>'EBF TJ'!J7*0.2777778</f>
        <v>-1750.0001400000001</v>
      </c>
      <c r="K7" s="26"/>
    </row>
    <row r="8" spans="2:17" x14ac:dyDescent="0.3">
      <c r="B8" s="53" t="s">
        <v>110</v>
      </c>
      <c r="C8" s="38" t="s">
        <v>111</v>
      </c>
      <c r="D8" s="38">
        <f>SUM(D5:D6)</f>
        <v>7676.0620029738002</v>
      </c>
      <c r="E8" s="38">
        <f t="shared" ref="E8:K8" si="0">SUM(E5:E6)</f>
        <v>59352.884748230397</v>
      </c>
      <c r="F8" s="38">
        <f t="shared" si="0"/>
        <v>16770.812452776001</v>
      </c>
      <c r="G8" s="170">
        <f>SUM(G5:G7)</f>
        <v>35.000002800000004</v>
      </c>
      <c r="H8" s="38">
        <f>SUM(H5:H7)</f>
        <v>529.00004232000003</v>
      </c>
      <c r="I8" s="38">
        <f>SUM(I5:I7)</f>
        <v>482270.01413715363</v>
      </c>
      <c r="J8" s="38">
        <f>SUM(J5+J6-J7)</f>
        <v>19084.812637896001</v>
      </c>
      <c r="K8" s="38">
        <f t="shared" si="0"/>
        <v>583968.58588414988</v>
      </c>
    </row>
    <row r="9" spans="2:17" x14ac:dyDescent="0.3">
      <c r="B9" s="23"/>
      <c r="C9" s="59" t="s">
        <v>54</v>
      </c>
      <c r="D9" s="4"/>
      <c r="E9" s="4"/>
      <c r="F9" s="4"/>
      <c r="G9" s="168"/>
      <c r="H9" s="4"/>
      <c r="I9" s="4"/>
      <c r="J9" s="4"/>
      <c r="K9" s="39"/>
    </row>
    <row r="10" spans="2:17" x14ac:dyDescent="0.3">
      <c r="B10" s="29" t="s">
        <v>55</v>
      </c>
      <c r="C10" s="42" t="s">
        <v>56</v>
      </c>
      <c r="D10" s="30"/>
      <c r="E10" s="30"/>
      <c r="F10" s="30"/>
      <c r="G10" s="171"/>
      <c r="H10" s="30"/>
      <c r="I10" s="30"/>
      <c r="J10" s="30">
        <f>'EBF TJ'!J10*0.2777778</f>
        <v>-58.055560200000002</v>
      </c>
      <c r="K10" s="31"/>
    </row>
    <row r="11" spans="2:17" x14ac:dyDescent="0.3">
      <c r="B11" s="29" t="s">
        <v>46</v>
      </c>
      <c r="C11" s="43" t="s">
        <v>57</v>
      </c>
      <c r="D11" s="119"/>
      <c r="E11" s="119">
        <f>'EBF TJ'!E11*0.2777778</f>
        <v>-2.0000001600000004</v>
      </c>
      <c r="F11" s="119">
        <f>'EBF TJ'!F11*0.2777778</f>
        <v>-16770.812452776001</v>
      </c>
      <c r="G11" s="172"/>
      <c r="H11" s="119"/>
      <c r="I11" s="119"/>
      <c r="J11" s="119"/>
      <c r="K11" s="119"/>
    </row>
    <row r="12" spans="2:17" x14ac:dyDescent="0.3">
      <c r="B12" s="29" t="s">
        <v>58</v>
      </c>
      <c r="C12" s="43" t="s">
        <v>126</v>
      </c>
      <c r="D12" s="30">
        <f>'EBF TJ'!D12*0.2777778</f>
        <v>-7676.1117252000004</v>
      </c>
      <c r="E12" s="30">
        <f>'EBF TJ'!E12*0.2777778</f>
        <v>-59354.884748390403</v>
      </c>
      <c r="F12" s="30">
        <f>'EBF TJ'!F12*0.2777778</f>
        <v>0</v>
      </c>
      <c r="G12" s="171">
        <f>'EBF TJ'!G12*0.2777778</f>
        <v>0</v>
      </c>
      <c r="H12" s="30">
        <f>'EBF TJ'!H12*0.2777778</f>
        <v>0</v>
      </c>
      <c r="I12" s="30">
        <f>'EBF TJ'!I12*0.2777778</f>
        <v>-482270.01413715363</v>
      </c>
      <c r="J12" s="30">
        <f>'EBF TJ'!J12*0.2777778</f>
        <v>0</v>
      </c>
      <c r="K12" s="30">
        <f>SUM(D12:J12)</f>
        <v>-549301.01061074401</v>
      </c>
    </row>
    <row r="13" spans="2:17" x14ac:dyDescent="0.3">
      <c r="B13" s="23"/>
      <c r="C13" s="38" t="s">
        <v>59</v>
      </c>
      <c r="D13" s="56">
        <f>SUM(D10:D12)</f>
        <v>-7676.1117252000004</v>
      </c>
      <c r="E13" s="40">
        <f>SUM(E10:E12)</f>
        <v>-59356.884748550401</v>
      </c>
      <c r="F13" s="40"/>
      <c r="G13" s="173"/>
      <c r="H13" s="40"/>
      <c r="I13" s="40"/>
      <c r="J13" s="40">
        <f>SUM(J10:J12)</f>
        <v>-58.055560200000002</v>
      </c>
      <c r="K13" s="41">
        <f>SUM(K10:K12)</f>
        <v>-549301.01061074401</v>
      </c>
    </row>
    <row r="14" spans="2:17" x14ac:dyDescent="0.3">
      <c r="B14" s="23"/>
      <c r="C14" s="59" t="s">
        <v>60</v>
      </c>
      <c r="D14" s="4"/>
      <c r="E14" s="4"/>
      <c r="F14" s="4"/>
      <c r="G14" s="168"/>
      <c r="H14" s="4"/>
      <c r="I14" s="4"/>
      <c r="J14" s="4"/>
      <c r="K14" s="39"/>
    </row>
    <row r="15" spans="2:17" x14ac:dyDescent="0.3">
      <c r="B15" s="29" t="s">
        <v>61</v>
      </c>
      <c r="C15" s="44" t="s">
        <v>62</v>
      </c>
      <c r="D15" s="32">
        <f>'EBF TJ'!D15*0.2777778</f>
        <v>0</v>
      </c>
      <c r="E15" s="32">
        <f>'EBF TJ'!E15*0.2777778</f>
        <v>1360.7089977456001</v>
      </c>
      <c r="F15" s="32">
        <f>'EBF TJ'!F15*0.2777778</f>
        <v>0</v>
      </c>
      <c r="G15" s="171">
        <f>'EBF TJ'!G15*0.2777778</f>
        <v>0</v>
      </c>
      <c r="H15" s="32">
        <f>'EBF TJ'!H15*0.2777778</f>
        <v>0</v>
      </c>
      <c r="I15" s="32">
        <f>'EBF TJ'!I15*0.2777778</f>
        <v>385680.271132197</v>
      </c>
      <c r="J15" s="32">
        <f>'EBF TJ'!J15*0.2777778</f>
        <v>6094.1204875295998</v>
      </c>
      <c r="K15" s="34">
        <f t="shared" ref="K15:K24" si="1">SUM(D15:J15)</f>
        <v>393135.1006174722</v>
      </c>
    </row>
    <row r="16" spans="2:17" x14ac:dyDescent="0.3">
      <c r="B16" s="29" t="s">
        <v>63</v>
      </c>
      <c r="C16" s="45" t="s">
        <v>64</v>
      </c>
      <c r="D16" s="32">
        <f>'EBF TJ'!D16*0.2777778</f>
        <v>0</v>
      </c>
      <c r="E16" s="32">
        <f>'EBF TJ'!E16*0.2777778</f>
        <v>854.6817350412</v>
      </c>
      <c r="F16" s="32">
        <f>'EBF TJ'!F16*0.2777778</f>
        <v>0</v>
      </c>
      <c r="G16" s="171">
        <f>'EBF TJ'!G16*0.2777778</f>
        <v>0</v>
      </c>
      <c r="H16" s="32">
        <f>'EBF TJ'!H16*0.2777778</f>
        <v>0</v>
      </c>
      <c r="I16" s="32">
        <f>'EBF TJ'!I16*0.2777778</f>
        <v>4175.1031117860002</v>
      </c>
      <c r="J16" s="32">
        <f>'EBF TJ'!J16*0.2777778</f>
        <v>2570.2302056183999</v>
      </c>
      <c r="K16" s="34">
        <f t="shared" si="1"/>
        <v>7600.0150524456003</v>
      </c>
    </row>
    <row r="17" spans="2:12" x14ac:dyDescent="0.3">
      <c r="B17" s="29" t="s">
        <v>65</v>
      </c>
      <c r="C17" s="45" t="s">
        <v>66</v>
      </c>
      <c r="D17" s="32">
        <f>'EBF TJ'!D17*0.2777778</f>
        <v>0</v>
      </c>
      <c r="E17" s="32">
        <f>'EBF TJ'!E17*0.2777778</f>
        <v>0</v>
      </c>
      <c r="F17" s="32">
        <f>'EBF TJ'!F17*0.2777778</f>
        <v>0</v>
      </c>
      <c r="G17" s="171">
        <f>'EBF TJ'!G17*0.2777778</f>
        <v>0</v>
      </c>
      <c r="H17" s="32">
        <f>'EBF TJ'!H17*0.2777778</f>
        <v>0</v>
      </c>
      <c r="I17" s="32">
        <f>'EBF TJ'!I17*0.2777778</f>
        <v>0</v>
      </c>
      <c r="J17" s="32">
        <f>'EBF TJ'!J17*0.2777778</f>
        <v>0</v>
      </c>
      <c r="K17" s="34">
        <f t="shared" si="1"/>
        <v>0</v>
      </c>
    </row>
    <row r="18" spans="2:12" s="134" customFormat="1" x14ac:dyDescent="0.3">
      <c r="B18" s="130" t="s">
        <v>121</v>
      </c>
      <c r="C18" s="131" t="s">
        <v>122</v>
      </c>
      <c r="D18" s="132">
        <f>'EBF TJ'!D18*0.2777778</f>
        <v>7676.2275585426005</v>
      </c>
      <c r="E18" s="132">
        <f>'EBF TJ'!E18*0.2777778</f>
        <v>2605.1202084096003</v>
      </c>
      <c r="F18" s="132">
        <f>'EBF TJ'!F18*0.2777778</f>
        <v>0</v>
      </c>
      <c r="G18" s="171">
        <f>'EBF TJ'!G18*0.2777778</f>
        <v>0</v>
      </c>
      <c r="H18" s="132">
        <f>'EBF TJ'!H18*0.2777778</f>
        <v>0</v>
      </c>
      <c r="I18" s="132">
        <f>'EBF TJ'!I18*0.2777778</f>
        <v>0</v>
      </c>
      <c r="J18" s="132">
        <f>'EBF TJ'!J18*0.2777778</f>
        <v>2861.5612011470998</v>
      </c>
      <c r="K18" s="133">
        <f t="shared" si="1"/>
        <v>13142.9089680993</v>
      </c>
    </row>
    <row r="19" spans="2:12" x14ac:dyDescent="0.3">
      <c r="B19" s="29" t="s">
        <v>123</v>
      </c>
      <c r="C19" s="45" t="s">
        <v>124</v>
      </c>
      <c r="D19" s="32">
        <f>'EBF TJ'!D19*0.2777778</f>
        <v>0</v>
      </c>
      <c r="E19" s="32">
        <f>'EBF TJ'!E19*0.2777778</f>
        <v>8781.4640358504003</v>
      </c>
      <c r="F19" s="32">
        <f>'EBF TJ'!F19*0.2777778</f>
        <v>0</v>
      </c>
      <c r="G19" s="171">
        <f>'EBF TJ'!G19*0.2777778</f>
        <v>0</v>
      </c>
      <c r="H19" s="32">
        <f>'EBF TJ'!H19*0.2777778</f>
        <v>0</v>
      </c>
      <c r="I19" s="32">
        <f>'EBF TJ'!I19*0.2777778</f>
        <v>0</v>
      </c>
      <c r="J19" s="32">
        <f>'EBF TJ'!J19*0.2777778</f>
        <v>150.60848427090019</v>
      </c>
      <c r="K19" s="34">
        <f t="shared" si="1"/>
        <v>8932.0725201213008</v>
      </c>
    </row>
    <row r="20" spans="2:12" x14ac:dyDescent="0.3">
      <c r="B20" s="29" t="s">
        <v>67</v>
      </c>
      <c r="C20" s="45" t="s">
        <v>125</v>
      </c>
      <c r="D20" s="32">
        <f>'EBF TJ'!D20*0.2777778</f>
        <v>0</v>
      </c>
      <c r="E20" s="32">
        <f>'EBF TJ'!E20*0.2777778</f>
        <v>2024.9482175514001</v>
      </c>
      <c r="F20" s="32">
        <f>'EBF TJ'!F20*0.2777778</f>
        <v>0</v>
      </c>
      <c r="G20" s="171">
        <f>'EBF TJ'!G20*0.2777778</f>
        <v>0</v>
      </c>
      <c r="H20" s="32">
        <f>'EBF TJ'!H20*0.2777778</f>
        <v>0</v>
      </c>
      <c r="I20" s="32">
        <f>'EBF TJ'!I20*0.2777778</f>
        <v>0</v>
      </c>
      <c r="J20" s="32">
        <f>'EBF TJ'!J20*0.2777778</f>
        <v>0</v>
      </c>
      <c r="K20" s="34">
        <f t="shared" si="1"/>
        <v>2024.9482175514001</v>
      </c>
    </row>
    <row r="21" spans="2:12" x14ac:dyDescent="0.3">
      <c r="B21" s="29" t="s">
        <v>68</v>
      </c>
      <c r="C21" s="45" t="s">
        <v>69</v>
      </c>
      <c r="D21" s="32">
        <f>'EBF TJ'!D21*0.2777778</f>
        <v>0</v>
      </c>
      <c r="E21" s="32">
        <f>'EBF TJ'!E21*0.2777778</f>
        <v>27879.403341463199</v>
      </c>
      <c r="F21" s="32">
        <f>'EBF TJ'!F21*0.2777778</f>
        <v>0</v>
      </c>
      <c r="G21" s="171">
        <f>'EBF TJ'!G21*0.2777778</f>
        <v>0</v>
      </c>
      <c r="H21" s="32">
        <f>'EBF TJ'!H21*0.2777778</f>
        <v>0</v>
      </c>
      <c r="I21" s="32">
        <f>'EBF TJ'!I21*0.2777778</f>
        <v>110.84084220060001</v>
      </c>
      <c r="J21" s="32">
        <f>'EBF TJ'!J21*0.2777778</f>
        <v>46.520003721600006</v>
      </c>
      <c r="K21" s="34">
        <f t="shared" si="1"/>
        <v>28036.764187385401</v>
      </c>
    </row>
    <row r="22" spans="2:12" x14ac:dyDescent="0.3">
      <c r="B22" s="29" t="s">
        <v>70</v>
      </c>
      <c r="C22" s="46" t="s">
        <v>71</v>
      </c>
      <c r="D22" s="32">
        <f>'EBF TJ'!D22*0.2777778</f>
        <v>0</v>
      </c>
      <c r="E22" s="32">
        <f>'EBF TJ'!E22*0.2777778</f>
        <v>2024.9482175514001</v>
      </c>
      <c r="F22" s="32">
        <f>'EBF TJ'!F22*0.2777778</f>
        <v>0</v>
      </c>
      <c r="G22" s="171">
        <f>'EBF TJ'!G22*0.2777778</f>
        <v>0</v>
      </c>
      <c r="H22" s="32">
        <f>'EBF TJ'!H22*0.2777778</f>
        <v>0</v>
      </c>
      <c r="I22" s="32">
        <f>'EBF TJ'!I22*0.2777778</f>
        <v>0</v>
      </c>
      <c r="J22" s="32">
        <f>'EBF TJ'!J22*0.2777778</f>
        <v>0</v>
      </c>
      <c r="K22" s="34">
        <f t="shared" si="1"/>
        <v>2024.9482175514001</v>
      </c>
    </row>
    <row r="23" spans="2:12" x14ac:dyDescent="0.3">
      <c r="B23" s="29" t="s">
        <v>83</v>
      </c>
      <c r="C23" s="45" t="s">
        <v>72</v>
      </c>
      <c r="D23" s="32">
        <f>'EBF TJ'!D23*0.2777778</f>
        <v>0</v>
      </c>
      <c r="E23" s="32">
        <f>'EBF TJ'!E23*0.2777778</f>
        <v>1195.6734289872002</v>
      </c>
      <c r="F23" s="32">
        <f>'EBF TJ'!F23*0.2777778</f>
        <v>0</v>
      </c>
      <c r="G23" s="171">
        <f>'EBF TJ'!G23*0.2777778</f>
        <v>0</v>
      </c>
      <c r="H23" s="32">
        <f>'EBF TJ'!H23*0.2777778</f>
        <v>0</v>
      </c>
      <c r="I23" s="32">
        <f>'EBF TJ'!I23*0.2777778</f>
        <v>0</v>
      </c>
      <c r="J23" s="32">
        <f>'EBF TJ'!J23*0.2777778</f>
        <v>0</v>
      </c>
      <c r="K23" s="74">
        <f t="shared" si="1"/>
        <v>1195.6734289872002</v>
      </c>
    </row>
    <row r="24" spans="2:12" x14ac:dyDescent="0.3">
      <c r="B24" s="29" t="s">
        <v>84</v>
      </c>
      <c r="C24" s="45" t="s">
        <v>73</v>
      </c>
      <c r="D24" s="32">
        <f>'EBF TJ'!D24*0.2777778</f>
        <v>0</v>
      </c>
      <c r="E24" s="32">
        <f>'EBF TJ'!E24*0.2777778</f>
        <v>12749.167686600002</v>
      </c>
      <c r="F24" s="32">
        <f>'EBF TJ'!F24*0.2777778</f>
        <v>0</v>
      </c>
      <c r="G24" s="171">
        <f>'EBF TJ'!G24*0.2777778</f>
        <v>0</v>
      </c>
      <c r="H24" s="32">
        <f>'EBF TJ'!H24*0.2777778</f>
        <v>0</v>
      </c>
      <c r="I24" s="32">
        <f>'EBF TJ'!I24*0.2777778</f>
        <v>0</v>
      </c>
      <c r="J24" s="32">
        <f>'EBF TJ'!J24*0.2777778</f>
        <v>0</v>
      </c>
      <c r="K24" s="75">
        <f t="shared" si="1"/>
        <v>12749.167686600002</v>
      </c>
    </row>
    <row r="25" spans="2:12" x14ac:dyDescent="0.3">
      <c r="B25" s="53" t="s">
        <v>86</v>
      </c>
      <c r="C25" s="38" t="s">
        <v>112</v>
      </c>
      <c r="D25" s="36">
        <f t="shared" ref="D25:K25" si="2">SUM(D15:D24)</f>
        <v>7676.2275585426005</v>
      </c>
      <c r="E25" s="72">
        <f t="shared" si="2"/>
        <v>59476.115869200003</v>
      </c>
      <c r="F25" s="72"/>
      <c r="G25" s="174"/>
      <c r="H25" s="72"/>
      <c r="I25" s="72">
        <f>SUM(I15:I24)</f>
        <v>389966.21508618363</v>
      </c>
      <c r="J25" s="72">
        <f>SUM(J15:J24)</f>
        <v>11723.040382287601</v>
      </c>
      <c r="K25" s="73">
        <f t="shared" si="2"/>
        <v>468841.59889621375</v>
      </c>
    </row>
    <row r="26" spans="2:12" x14ac:dyDescent="0.3">
      <c r="D26" s="5"/>
      <c r="E26" s="5"/>
      <c r="F26" s="5"/>
      <c r="G26" s="171"/>
      <c r="H26" s="5"/>
      <c r="I26" s="5"/>
      <c r="J26" s="5"/>
      <c r="K26" s="5"/>
    </row>
    <row r="27" spans="2:12" x14ac:dyDescent="0.3">
      <c r="D27" s="5"/>
      <c r="E27" s="5"/>
      <c r="F27" s="5"/>
      <c r="G27" s="171"/>
      <c r="H27" s="5"/>
      <c r="I27" s="5"/>
      <c r="J27" s="5"/>
      <c r="K27" s="5"/>
      <c r="L27" s="5"/>
    </row>
    <row r="28" spans="2:12" x14ac:dyDescent="0.3">
      <c r="C28" s="35"/>
      <c r="D28" s="35"/>
      <c r="E28" s="5"/>
      <c r="F28" s="5"/>
      <c r="G28" s="171"/>
      <c r="H28" s="5"/>
      <c r="I28" s="5"/>
      <c r="J28" s="5"/>
      <c r="K28" s="5"/>
      <c r="L28" s="5"/>
    </row>
    <row r="29" spans="2:12" x14ac:dyDescent="0.3">
      <c r="D29" s="5"/>
      <c r="E29" s="5"/>
      <c r="F29" s="5"/>
      <c r="G29" s="171"/>
      <c r="H29" s="5"/>
      <c r="I29" s="5"/>
      <c r="J29" s="5"/>
      <c r="K29" s="5"/>
      <c r="L29" s="5"/>
    </row>
    <row r="30" spans="2:12" x14ac:dyDescent="0.3">
      <c r="D30" s="5"/>
      <c r="E30" s="5"/>
      <c r="F30" s="5"/>
      <c r="G30" s="171"/>
      <c r="H30" s="5"/>
      <c r="I30" s="5"/>
      <c r="J30" s="5"/>
      <c r="K30" s="5"/>
      <c r="L30" s="5"/>
    </row>
    <row r="31" spans="2:12" x14ac:dyDescent="0.3">
      <c r="D31" s="5"/>
      <c r="E31" s="5"/>
      <c r="F31" s="5"/>
      <c r="G31" s="171"/>
      <c r="H31" s="5"/>
      <c r="I31" s="5"/>
      <c r="J31" s="5"/>
      <c r="K31" s="5"/>
      <c r="L31" s="5"/>
    </row>
    <row r="32" spans="2:12" x14ac:dyDescent="0.3">
      <c r="D32" s="5"/>
      <c r="E32" s="5"/>
      <c r="F32" s="5"/>
      <c r="G32" s="171"/>
      <c r="H32" s="5"/>
      <c r="I32" s="5"/>
      <c r="J32" s="5"/>
      <c r="K32" s="5"/>
      <c r="L32" s="5"/>
    </row>
    <row r="33" spans="2:12" x14ac:dyDescent="0.3">
      <c r="D33" s="5"/>
      <c r="E33" s="5"/>
      <c r="F33" s="5"/>
      <c r="G33" s="171"/>
      <c r="H33" s="5"/>
      <c r="I33" s="5"/>
      <c r="J33" s="5"/>
      <c r="K33" s="5"/>
      <c r="L33" s="5"/>
    </row>
    <row r="34" spans="2:12" x14ac:dyDescent="0.3">
      <c r="D34" s="5"/>
      <c r="E34" s="5"/>
      <c r="F34" s="5"/>
      <c r="G34" s="171"/>
      <c r="H34" s="5"/>
      <c r="I34" s="5"/>
      <c r="J34" s="5"/>
      <c r="K34" s="5"/>
      <c r="L34" s="5"/>
    </row>
    <row r="35" spans="2:12" x14ac:dyDescent="0.3">
      <c r="D35" s="5"/>
      <c r="E35" s="5"/>
      <c r="F35" s="5"/>
      <c r="G35" s="171"/>
      <c r="H35" s="5"/>
      <c r="I35" s="5"/>
      <c r="J35" s="5"/>
      <c r="K35" s="5"/>
      <c r="L35" s="5"/>
    </row>
    <row r="36" spans="2:12" x14ac:dyDescent="0.3">
      <c r="D36" s="5"/>
      <c r="E36" s="5"/>
      <c r="F36" s="5"/>
      <c r="G36" s="171"/>
      <c r="H36" s="5"/>
      <c r="I36" s="5"/>
      <c r="J36" s="5"/>
      <c r="K36" s="5"/>
      <c r="L36" s="5"/>
    </row>
    <row r="37" spans="2:12" x14ac:dyDescent="0.3">
      <c r="C37" t="s">
        <v>146</v>
      </c>
      <c r="D37" s="13" t="s">
        <v>44</v>
      </c>
      <c r="E37" s="5" t="s">
        <v>145</v>
      </c>
      <c r="F37" s="5"/>
      <c r="G37" s="171"/>
      <c r="H37" s="5"/>
      <c r="I37" s="1"/>
      <c r="J37" s="1"/>
      <c r="K37" s="1"/>
      <c r="L37" s="1"/>
    </row>
    <row r="38" spans="2:12" x14ac:dyDescent="0.3">
      <c r="C38" s="14" t="s">
        <v>94</v>
      </c>
      <c r="D38" s="15">
        <f>D5/(D18)</f>
        <v>0.58862251372988983</v>
      </c>
      <c r="E38" s="5"/>
      <c r="F38" s="5"/>
      <c r="G38" s="171"/>
      <c r="H38" s="5"/>
      <c r="I38" s="18"/>
      <c r="J38" s="18"/>
      <c r="K38" s="18"/>
      <c r="L38" s="18"/>
    </row>
    <row r="39" spans="2:12" x14ac:dyDescent="0.3">
      <c r="C39" s="16" t="s">
        <v>95</v>
      </c>
      <c r="D39" s="17">
        <f>D6/(D18)</f>
        <v>0.41135591896148921</v>
      </c>
      <c r="E39" s="5"/>
      <c r="F39" s="5"/>
      <c r="G39" s="171"/>
      <c r="H39" s="5"/>
      <c r="I39" s="18"/>
      <c r="J39" s="18"/>
      <c r="K39" s="18"/>
      <c r="L39" s="18"/>
    </row>
    <row r="40" spans="2:12" x14ac:dyDescent="0.3">
      <c r="C40" s="1" t="s">
        <v>147</v>
      </c>
      <c r="D40" s="18">
        <f>D18/(D18+E18)</f>
        <v>0.7466168572973132</v>
      </c>
      <c r="E40" s="109">
        <f>E18/(E18)</f>
        <v>1</v>
      </c>
      <c r="F40" s="5"/>
      <c r="G40" s="171"/>
      <c r="H40" s="5"/>
    </row>
    <row r="44" spans="2:12" x14ac:dyDescent="0.3">
      <c r="D44" s="27" t="s">
        <v>44</v>
      </c>
      <c r="E44" s="27" t="s">
        <v>45</v>
      </c>
      <c r="F44" s="27" t="s">
        <v>117</v>
      </c>
      <c r="G44" s="167" t="s">
        <v>127</v>
      </c>
      <c r="H44" s="27" t="s">
        <v>128</v>
      </c>
      <c r="I44" s="27" t="s">
        <v>119</v>
      </c>
      <c r="J44" s="27" t="s">
        <v>46</v>
      </c>
    </row>
    <row r="45" spans="2:12" x14ac:dyDescent="0.3">
      <c r="B45" t="s">
        <v>132</v>
      </c>
      <c r="C45" t="s">
        <v>131</v>
      </c>
      <c r="D45" s="28" t="s">
        <v>47</v>
      </c>
      <c r="E45" s="28" t="s">
        <v>115</v>
      </c>
      <c r="F45" s="28" t="s">
        <v>118</v>
      </c>
      <c r="G45" s="167" t="s">
        <v>129</v>
      </c>
      <c r="H45" s="28" t="s">
        <v>130</v>
      </c>
      <c r="I45" s="28" t="s">
        <v>114</v>
      </c>
      <c r="J45" s="28" t="s">
        <v>85</v>
      </c>
      <c r="K45" s="86" t="s">
        <v>48</v>
      </c>
    </row>
    <row r="46" spans="2:12" x14ac:dyDescent="0.3">
      <c r="B46" t="s">
        <v>121</v>
      </c>
      <c r="C46" t="s">
        <v>249</v>
      </c>
      <c r="D46" s="109">
        <f>D18/(D18+E18)</f>
        <v>0.7466168572973132</v>
      </c>
      <c r="E46" s="109"/>
      <c r="K46" s="112">
        <f>SUM(D46:J46)</f>
        <v>0.7466168572973132</v>
      </c>
      <c r="L46" t="str">
        <f>C46</f>
        <v>DM1: Cement heat</v>
      </c>
    </row>
    <row r="47" spans="2:12" x14ac:dyDescent="0.3">
      <c r="B47" t="s">
        <v>121</v>
      </c>
      <c r="C47" t="s">
        <v>250</v>
      </c>
      <c r="E47" s="109">
        <f>E18/(D18+E18)</f>
        <v>0.25338314270268686</v>
      </c>
      <c r="J47" s="109"/>
      <c r="K47" s="112">
        <f>SUM(D47:J47)</f>
        <v>0.25338314270268686</v>
      </c>
      <c r="L47" t="str">
        <f t="shared" ref="L47:L48" si="3">C47</f>
        <v>DM2: Non-cement process heat</v>
      </c>
    </row>
    <row r="48" spans="2:12" x14ac:dyDescent="0.3">
      <c r="B48" t="s">
        <v>121</v>
      </c>
      <c r="C48" t="s">
        <v>251</v>
      </c>
      <c r="J48" s="109">
        <v>1</v>
      </c>
      <c r="K48" s="112">
        <f>SUM(D48:J48)</f>
        <v>1</v>
      </c>
      <c r="L48" t="str">
        <f t="shared" si="3"/>
        <v>DM3 : Machine dive, lighting, cooling , refrigration etc</v>
      </c>
    </row>
    <row r="49" spans="2:11" x14ac:dyDescent="0.3">
      <c r="J49" s="109"/>
      <c r="K49" s="112"/>
    </row>
    <row r="50" spans="2:11" x14ac:dyDescent="0.3">
      <c r="J50" s="109"/>
      <c r="K50" s="112"/>
    </row>
    <row r="51" spans="2:11" x14ac:dyDescent="0.3">
      <c r="J51" s="109"/>
      <c r="K51" s="112"/>
    </row>
    <row r="53" spans="2:11" x14ac:dyDescent="0.3">
      <c r="C53" s="78" t="s">
        <v>134</v>
      </c>
      <c r="D53" s="79" t="s">
        <v>135</v>
      </c>
      <c r="E53" s="80" t="s">
        <v>136</v>
      </c>
    </row>
    <row r="54" spans="2:11" x14ac:dyDescent="0.3">
      <c r="B54" s="12" t="s">
        <v>133</v>
      </c>
      <c r="C54" s="81" t="s">
        <v>137</v>
      </c>
      <c r="D54" s="81" t="s">
        <v>138</v>
      </c>
      <c r="E54" s="82" t="s">
        <v>136</v>
      </c>
    </row>
    <row r="55" spans="2:11" x14ac:dyDescent="0.3">
      <c r="B55" s="29" t="s">
        <v>121</v>
      </c>
      <c r="C55" s="83">
        <v>1</v>
      </c>
      <c r="D55" s="84"/>
      <c r="E55" s="85"/>
    </row>
  </sheetData>
  <phoneticPr fontId="2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602B-9017-48E8-B4D5-63841A58EBF0}">
  <dimension ref="A1:X44"/>
  <sheetViews>
    <sheetView topLeftCell="A18" zoomScale="148" zoomScaleNormal="148" workbookViewId="0">
      <selection activeCell="F30" sqref="F30"/>
    </sheetView>
  </sheetViews>
  <sheetFormatPr defaultRowHeight="13.2" x14ac:dyDescent="0.25"/>
  <cols>
    <col min="1" max="1" width="2" bestFit="1" customWidth="1"/>
    <col min="2" max="2" width="19.33203125" bestFit="1" customWidth="1"/>
    <col min="3" max="3" width="12.33203125" customWidth="1"/>
    <col min="4" max="4" width="18.6640625" bestFit="1" customWidth="1"/>
    <col min="5" max="5" width="7.5546875" bestFit="1" customWidth="1"/>
    <col min="6" max="6" width="8.33203125" bestFit="1" customWidth="1"/>
    <col min="7" max="7" width="13.109375" bestFit="1" customWidth="1"/>
    <col min="8" max="8" width="8.44140625" bestFit="1" customWidth="1"/>
    <col min="9" max="9" width="13.6640625" bestFit="1" customWidth="1"/>
    <col min="10" max="10" width="15.88671875" customWidth="1"/>
    <col min="11" max="11" width="13.6640625" style="158" customWidth="1"/>
    <col min="12" max="12" width="2" customWidth="1"/>
    <col min="13" max="13" width="11.6640625" bestFit="1" customWidth="1"/>
    <col min="14" max="14" width="7.109375" customWidth="1"/>
    <col min="15" max="15" width="21.44140625" bestFit="1" customWidth="1"/>
    <col min="16" max="16" width="45.5546875" bestFit="1" customWidth="1"/>
    <col min="17" max="17" width="6.109375" customWidth="1"/>
    <col min="18" max="18" width="11.5546875" customWidth="1"/>
    <col min="19" max="19" width="12.88671875" bestFit="1" customWidth="1"/>
    <col min="20" max="20" width="13.33203125" bestFit="1" customWidth="1"/>
    <col min="21" max="21" width="19.44140625" bestFit="1" customWidth="1"/>
  </cols>
  <sheetData>
    <row r="1" spans="2:21" ht="28.8" x14ac:dyDescent="0.3">
      <c r="B1" s="19" t="s">
        <v>75</v>
      </c>
      <c r="C1" s="19" t="s">
        <v>76</v>
      </c>
      <c r="D1" s="19" t="s">
        <v>77</v>
      </c>
      <c r="E1" s="19" t="s">
        <v>78</v>
      </c>
      <c r="F1" s="11"/>
      <c r="G1" s="19" t="s">
        <v>79</v>
      </c>
    </row>
    <row r="2" spans="2:21" ht="15.6" x14ac:dyDescent="0.3">
      <c r="B2" s="7"/>
      <c r="C2" s="7" t="str">
        <f>EBF!D2</f>
        <v>COA</v>
      </c>
      <c r="D2" s="7" t="str">
        <f>EBF!D3</f>
        <v>Coal</v>
      </c>
      <c r="E2" s="7" t="s">
        <v>148</v>
      </c>
      <c r="G2" s="7" t="str">
        <f>EBF!O2</f>
        <v>TH$2024</v>
      </c>
      <c r="M2" s="63" t="s">
        <v>14</v>
      </c>
      <c r="N2" s="63"/>
      <c r="O2" s="64"/>
      <c r="P2" s="64"/>
      <c r="Q2" s="64"/>
      <c r="R2" s="64"/>
      <c r="S2" s="64"/>
      <c r="T2" s="64"/>
      <c r="U2" s="64"/>
    </row>
    <row r="3" spans="2:21" ht="15.6" x14ac:dyDescent="0.3">
      <c r="C3" t="s">
        <v>45</v>
      </c>
      <c r="D3" t="s">
        <v>145</v>
      </c>
      <c r="E3" s="7" t="s">
        <v>148</v>
      </c>
      <c r="G3" s="7" t="str">
        <f>EBF!O2</f>
        <v>TH$2024</v>
      </c>
      <c r="M3" s="65" t="s">
        <v>7</v>
      </c>
      <c r="N3" s="66" t="s">
        <v>30</v>
      </c>
      <c r="O3" s="65" t="s">
        <v>0</v>
      </c>
      <c r="P3" s="65" t="s">
        <v>3</v>
      </c>
      <c r="Q3" s="65" t="s">
        <v>4</v>
      </c>
      <c r="R3" s="65" t="s">
        <v>8</v>
      </c>
      <c r="S3" s="65" t="s">
        <v>9</v>
      </c>
      <c r="T3" s="65" t="s">
        <v>10</v>
      </c>
      <c r="U3" s="65" t="s">
        <v>12</v>
      </c>
    </row>
    <row r="4" spans="2:21" ht="22.2" thickBot="1" x14ac:dyDescent="0.35">
      <c r="C4" s="137" t="s">
        <v>199</v>
      </c>
      <c r="D4" s="1" t="s">
        <v>197</v>
      </c>
      <c r="E4" s="77" t="s">
        <v>148</v>
      </c>
      <c r="G4" s="7" t="str">
        <f>EBF!O2</f>
        <v>TH$2024</v>
      </c>
      <c r="M4" s="67" t="s">
        <v>37</v>
      </c>
      <c r="N4" s="67" t="s">
        <v>31</v>
      </c>
      <c r="O4" s="67" t="s">
        <v>26</v>
      </c>
      <c r="P4" s="67" t="s">
        <v>27</v>
      </c>
      <c r="Q4" s="67" t="s">
        <v>4</v>
      </c>
      <c r="R4" s="67" t="s">
        <v>40</v>
      </c>
      <c r="S4" s="67" t="s">
        <v>41</v>
      </c>
      <c r="T4" s="67" t="s">
        <v>28</v>
      </c>
      <c r="U4" s="67" t="s">
        <v>29</v>
      </c>
    </row>
    <row r="5" spans="2:21" ht="15.6" x14ac:dyDescent="0.3">
      <c r="C5" s="138"/>
      <c r="D5" s="138"/>
      <c r="E5" s="77"/>
      <c r="F5" s="138"/>
      <c r="G5" s="7"/>
      <c r="M5" s="64" t="s">
        <v>74</v>
      </c>
      <c r="N5" s="68"/>
      <c r="O5" s="136" t="s">
        <v>203</v>
      </c>
      <c r="P5" s="64" t="s">
        <v>152</v>
      </c>
      <c r="Q5" s="64" t="s">
        <v>148</v>
      </c>
      <c r="R5" s="64"/>
      <c r="S5" s="137" t="s">
        <v>202</v>
      </c>
      <c r="T5" s="64"/>
      <c r="U5" s="64"/>
    </row>
    <row r="6" spans="2:21" ht="15.6" x14ac:dyDescent="0.3">
      <c r="C6" s="138"/>
      <c r="D6" s="138"/>
      <c r="E6" s="77"/>
      <c r="F6" s="138"/>
      <c r="G6" s="7"/>
      <c r="M6" s="64" t="s">
        <v>74</v>
      </c>
      <c r="N6" s="68"/>
      <c r="O6" s="136" t="s">
        <v>204</v>
      </c>
      <c r="P6" s="64" t="s">
        <v>153</v>
      </c>
      <c r="Q6" s="64" t="s">
        <v>148</v>
      </c>
      <c r="R6" s="64"/>
      <c r="S6" s="137" t="s">
        <v>202</v>
      </c>
      <c r="T6" s="64"/>
      <c r="U6" s="64"/>
    </row>
    <row r="7" spans="2:21" ht="15.6" x14ac:dyDescent="0.3">
      <c r="C7" s="138"/>
      <c r="D7" s="138"/>
      <c r="E7" s="77"/>
      <c r="F7" s="138"/>
      <c r="G7" s="7"/>
      <c r="M7" s="64" t="s">
        <v>74</v>
      </c>
      <c r="N7" s="68"/>
      <c r="O7" s="136" t="s">
        <v>205</v>
      </c>
      <c r="P7" s="64" t="s">
        <v>154</v>
      </c>
      <c r="Q7" s="64" t="s">
        <v>148</v>
      </c>
      <c r="R7" s="64"/>
      <c r="S7" s="137" t="s">
        <v>202</v>
      </c>
      <c r="T7" s="64"/>
      <c r="U7" s="64"/>
    </row>
    <row r="8" spans="2:21" ht="15.6" x14ac:dyDescent="0.3">
      <c r="C8" s="138"/>
      <c r="D8" s="138"/>
      <c r="E8" s="77"/>
      <c r="F8" s="138"/>
      <c r="G8" s="7"/>
      <c r="M8" s="136" t="s">
        <v>46</v>
      </c>
      <c r="N8" s="68"/>
      <c r="O8" s="136" t="s">
        <v>267</v>
      </c>
      <c r="P8" s="136" t="s">
        <v>207</v>
      </c>
      <c r="Q8" s="64" t="s">
        <v>148</v>
      </c>
      <c r="R8" s="64"/>
      <c r="S8" s="137" t="s">
        <v>202</v>
      </c>
      <c r="T8" s="64"/>
      <c r="U8" s="64"/>
    </row>
    <row r="9" spans="2:21" ht="15.6" x14ac:dyDescent="0.3">
      <c r="C9" s="138"/>
      <c r="D9" s="138"/>
      <c r="E9" s="77"/>
      <c r="F9" s="138"/>
      <c r="G9" s="7"/>
      <c r="M9" s="139"/>
      <c r="N9" s="139"/>
      <c r="O9" s="139"/>
      <c r="P9" s="139"/>
      <c r="Q9" s="139"/>
      <c r="R9" s="64"/>
      <c r="S9" s="64"/>
      <c r="T9" s="64"/>
      <c r="U9" s="64"/>
    </row>
    <row r="10" spans="2:21" x14ac:dyDescent="0.25">
      <c r="M10" s="139"/>
      <c r="N10" s="139"/>
      <c r="O10" s="139"/>
      <c r="P10" s="139"/>
      <c r="Q10" s="139"/>
      <c r="R10" s="64"/>
      <c r="S10" s="64"/>
      <c r="T10" s="64"/>
      <c r="U10" s="64"/>
    </row>
    <row r="11" spans="2:21" x14ac:dyDescent="0.25">
      <c r="M11" s="139"/>
      <c r="N11" s="139"/>
      <c r="O11" s="139"/>
      <c r="P11" s="139"/>
      <c r="Q11" s="139"/>
      <c r="R11" s="64"/>
      <c r="S11" s="64"/>
      <c r="T11" s="64"/>
      <c r="U11" s="64"/>
    </row>
    <row r="12" spans="2:21" x14ac:dyDescent="0.25">
      <c r="M12" s="136"/>
      <c r="N12" s="68"/>
      <c r="O12" s="136"/>
      <c r="P12" s="136"/>
      <c r="Q12" s="136"/>
      <c r="R12" s="64"/>
      <c r="S12" s="64"/>
      <c r="T12" s="64"/>
      <c r="U12" s="64"/>
    </row>
    <row r="13" spans="2:21" x14ac:dyDescent="0.25">
      <c r="M13" s="136"/>
      <c r="N13" s="68"/>
      <c r="O13" s="136"/>
      <c r="P13" s="136"/>
      <c r="Q13" s="136"/>
      <c r="R13" s="64"/>
      <c r="S13" s="64"/>
      <c r="T13" s="64"/>
      <c r="U13" s="64"/>
    </row>
    <row r="14" spans="2:21" x14ac:dyDescent="0.25">
      <c r="M14" s="136"/>
      <c r="N14" s="68"/>
      <c r="O14" s="136"/>
      <c r="P14" s="136"/>
      <c r="Q14" s="136"/>
      <c r="R14" s="64"/>
      <c r="S14" s="64"/>
      <c r="T14" s="64"/>
      <c r="U14" s="64"/>
    </row>
    <row r="15" spans="2:21" x14ac:dyDescent="0.25">
      <c r="M15" s="150"/>
      <c r="N15" s="150"/>
      <c r="O15" s="150"/>
      <c r="P15" s="150"/>
      <c r="Q15" s="150"/>
      <c r="R15" s="64"/>
      <c r="S15" s="64"/>
      <c r="T15" s="64"/>
      <c r="U15" s="64"/>
    </row>
    <row r="16" spans="2:21" x14ac:dyDescent="0.25">
      <c r="M16" s="150"/>
      <c r="N16" s="150"/>
      <c r="O16" s="150"/>
      <c r="P16" s="150"/>
      <c r="Q16" s="150"/>
      <c r="R16" s="64"/>
      <c r="S16" s="64"/>
      <c r="T16" s="64"/>
      <c r="U16" s="64"/>
    </row>
    <row r="17" spans="2:21" x14ac:dyDescent="0.25">
      <c r="M17" s="136"/>
      <c r="N17" s="68"/>
      <c r="O17" s="136"/>
      <c r="P17" s="136"/>
      <c r="Q17" s="136"/>
      <c r="R17" s="64"/>
      <c r="S17" s="64"/>
      <c r="T17" s="64"/>
      <c r="U17" s="64"/>
    </row>
    <row r="18" spans="2:21" x14ac:dyDescent="0.25">
      <c r="M18" s="1"/>
      <c r="O18" s="1"/>
      <c r="P18" s="1"/>
      <c r="Q18" s="1"/>
      <c r="R18" s="1"/>
      <c r="S18" s="1"/>
      <c r="T18" s="1"/>
      <c r="U18" s="1"/>
    </row>
    <row r="19" spans="2:21" x14ac:dyDescent="0.25">
      <c r="F19" s="3" t="s">
        <v>13</v>
      </c>
      <c r="H19" s="3"/>
      <c r="M19" s="63" t="s">
        <v>15</v>
      </c>
      <c r="N19" s="63"/>
      <c r="O19" s="68"/>
      <c r="P19" s="68"/>
      <c r="Q19" s="68"/>
      <c r="R19" s="68"/>
      <c r="S19" s="68"/>
      <c r="T19" s="68"/>
      <c r="U19" s="68"/>
    </row>
    <row r="20" spans="2:21" x14ac:dyDescent="0.25">
      <c r="B20" s="2" t="s">
        <v>1</v>
      </c>
      <c r="C20" s="10" t="s">
        <v>5</v>
      </c>
      <c r="D20" s="2" t="s">
        <v>6</v>
      </c>
      <c r="E20" s="2" t="s">
        <v>96</v>
      </c>
      <c r="F20" s="2" t="s">
        <v>8</v>
      </c>
      <c r="G20" s="62" t="s">
        <v>34</v>
      </c>
      <c r="H20" s="62" t="s">
        <v>35</v>
      </c>
      <c r="I20" s="62" t="s">
        <v>80</v>
      </c>
      <c r="J20" s="76" t="s">
        <v>149</v>
      </c>
      <c r="K20" s="159"/>
      <c r="M20" s="65" t="s">
        <v>11</v>
      </c>
      <c r="N20" s="66" t="s">
        <v>30</v>
      </c>
      <c r="O20" s="65" t="s">
        <v>1</v>
      </c>
      <c r="P20" s="65" t="s">
        <v>2</v>
      </c>
      <c r="Q20" s="65" t="s">
        <v>16</v>
      </c>
      <c r="R20" s="65" t="s">
        <v>17</v>
      </c>
      <c r="S20" s="65" t="s">
        <v>18</v>
      </c>
      <c r="T20" s="65" t="s">
        <v>19</v>
      </c>
      <c r="U20" s="65" t="s">
        <v>20</v>
      </c>
    </row>
    <row r="21" spans="2:21" ht="21.6" thickBot="1" x14ac:dyDescent="0.3">
      <c r="B21" s="9" t="s">
        <v>39</v>
      </c>
      <c r="C21" s="9" t="s">
        <v>32</v>
      </c>
      <c r="D21" s="9" t="s">
        <v>33</v>
      </c>
      <c r="E21" s="9"/>
      <c r="F21" s="9"/>
      <c r="G21" s="9" t="s">
        <v>36</v>
      </c>
      <c r="H21" s="9" t="s">
        <v>89</v>
      </c>
      <c r="I21" s="9" t="s">
        <v>88</v>
      </c>
      <c r="J21" s="9" t="s">
        <v>150</v>
      </c>
      <c r="K21" s="160"/>
      <c r="M21" s="67" t="s">
        <v>38</v>
      </c>
      <c r="N21" s="67" t="s">
        <v>31</v>
      </c>
      <c r="O21" s="67" t="s">
        <v>21</v>
      </c>
      <c r="P21" s="67" t="s">
        <v>22</v>
      </c>
      <c r="Q21" s="67" t="s">
        <v>23</v>
      </c>
      <c r="R21" s="67" t="s">
        <v>24</v>
      </c>
      <c r="S21" s="67" t="s">
        <v>43</v>
      </c>
      <c r="T21" s="67" t="s">
        <v>42</v>
      </c>
      <c r="U21" s="67" t="s">
        <v>25</v>
      </c>
    </row>
    <row r="22" spans="2:21" ht="21.6" thickBot="1" x14ac:dyDescent="0.3">
      <c r="B22" s="9" t="s">
        <v>87</v>
      </c>
      <c r="C22" s="8"/>
      <c r="D22" s="8"/>
      <c r="E22" s="8"/>
      <c r="F22" s="8"/>
      <c r="G22" s="8" t="str">
        <f>$E$2</f>
        <v>GWh</v>
      </c>
      <c r="H22" s="8" t="s">
        <v>253</v>
      </c>
      <c r="I22" s="8" t="str">
        <f>$E$2</f>
        <v>GWh</v>
      </c>
      <c r="J22" s="9"/>
      <c r="K22" s="161"/>
      <c r="M22" s="67" t="s">
        <v>81</v>
      </c>
      <c r="N22" s="69"/>
      <c r="O22" s="69"/>
      <c r="P22" s="69"/>
      <c r="Q22" s="69"/>
      <c r="R22" s="69"/>
      <c r="S22" s="69"/>
      <c r="T22" s="69"/>
      <c r="U22" s="69"/>
    </row>
    <row r="23" spans="2:21" ht="13.8" thickBot="1" x14ac:dyDescent="0.3">
      <c r="B23" s="64" t="str">
        <f>O23</f>
        <v>MINCOA</v>
      </c>
      <c r="C23" s="1"/>
      <c r="D23" s="64" t="str">
        <f>O$5</f>
        <v>MANCOALMIN</v>
      </c>
      <c r="E23" s="1">
        <v>2022</v>
      </c>
      <c r="F23" s="137"/>
      <c r="G23" s="183">
        <v>3333333.3</v>
      </c>
      <c r="H23" s="182">
        <v>8.0665446383744062</v>
      </c>
      <c r="I23" s="87"/>
      <c r="J23" s="113">
        <v>8.76</v>
      </c>
      <c r="K23" s="162"/>
      <c r="M23" s="64" t="str">
        <f>EBF!$B$5</f>
        <v>MIN</v>
      </c>
      <c r="N23" s="68"/>
      <c r="O23" s="68" t="str">
        <f>$M$23&amp;$C$2</f>
        <v>MINCOA</v>
      </c>
      <c r="P23" s="70" t="str">
        <f>"Domestic Supply of "&amp;$D$2&amp;" "</f>
        <v xml:space="preserve">Domestic Supply of Coal </v>
      </c>
      <c r="Q23" s="68" t="s">
        <v>148</v>
      </c>
      <c r="R23" s="68"/>
      <c r="S23" s="137" t="s">
        <v>202</v>
      </c>
      <c r="T23" s="68"/>
      <c r="U23" s="68"/>
    </row>
    <row r="24" spans="2:21" x14ac:dyDescent="0.25">
      <c r="B24" s="64" t="str">
        <f t="shared" ref="B24:B25" si="0">O24</f>
        <v>IMPCOA</v>
      </c>
      <c r="C24" s="1"/>
      <c r="D24" s="64" t="str">
        <f>O$6</f>
        <v>MANCOALIMP</v>
      </c>
      <c r="E24" s="1">
        <v>2022</v>
      </c>
      <c r="F24" s="137"/>
      <c r="G24" s="60"/>
      <c r="H24" s="61">
        <v>22.318502952024048</v>
      </c>
      <c r="I24" s="87"/>
      <c r="J24" s="113">
        <v>8.76</v>
      </c>
      <c r="K24" s="162"/>
      <c r="M24" s="68" t="str">
        <f>EBF!$B$6</f>
        <v>IMP</v>
      </c>
      <c r="N24" s="68"/>
      <c r="O24" s="68" t="str">
        <f>$M$24&amp;$C$2</f>
        <v>IMPCOA</v>
      </c>
      <c r="P24" s="70" t="str">
        <f>"Import of "&amp;$D$2&amp;" "</f>
        <v xml:space="preserve">Import of Coal </v>
      </c>
      <c r="Q24" s="68" t="s">
        <v>148</v>
      </c>
      <c r="R24" s="68"/>
      <c r="S24" s="137" t="s">
        <v>202</v>
      </c>
      <c r="T24" s="68"/>
      <c r="U24" s="68"/>
    </row>
    <row r="25" spans="2:21" x14ac:dyDescent="0.25">
      <c r="B25" s="64" t="str">
        <f t="shared" si="0"/>
        <v>IMPOIL</v>
      </c>
      <c r="C25" s="1"/>
      <c r="D25" s="64" t="str">
        <f>O$7</f>
        <v>MANOILIMP</v>
      </c>
      <c r="E25" s="1">
        <v>2022</v>
      </c>
      <c r="F25" s="137"/>
      <c r="H25" s="49">
        <v>31.054602678959174</v>
      </c>
      <c r="I25" s="87"/>
      <c r="J25" s="113">
        <v>8.76</v>
      </c>
      <c r="K25" s="162"/>
      <c r="M25" t="str">
        <f>EBF!B6</f>
        <v>IMP</v>
      </c>
      <c r="O25" s="68" t="str">
        <f>$M$25&amp;$C$3</f>
        <v>IMPOIL</v>
      </c>
      <c r="P25" s="70" t="str">
        <f>"Import of "&amp;$D$3&amp;" "</f>
        <v xml:space="preserve">Import of Oil </v>
      </c>
      <c r="Q25" t="s">
        <v>148</v>
      </c>
      <c r="S25" s="137" t="s">
        <v>202</v>
      </c>
    </row>
    <row r="26" spans="2:21" x14ac:dyDescent="0.25">
      <c r="B26" s="64" t="str">
        <f>O26</f>
        <v>ELCGRID</v>
      </c>
      <c r="C26" s="68"/>
      <c r="D26" s="136" t="str">
        <f>O8</f>
        <v>GRIDELC</v>
      </c>
      <c r="E26" s="1">
        <v>2022</v>
      </c>
      <c r="F26" s="137"/>
      <c r="H26" s="182">
        <v>100</v>
      </c>
      <c r="I26" s="87"/>
      <c r="J26" s="113">
        <v>8.76</v>
      </c>
      <c r="K26" s="162"/>
      <c r="M26" s="138" t="s">
        <v>46</v>
      </c>
      <c r="N26" s="138"/>
      <c r="O26" s="68" t="str">
        <f>$M$26&amp;$C$4</f>
        <v>ELCGRID</v>
      </c>
      <c r="P26" s="140" t="s">
        <v>200</v>
      </c>
      <c r="Q26" t="s">
        <v>148</v>
      </c>
      <c r="S26" s="137" t="s">
        <v>202</v>
      </c>
    </row>
    <row r="27" spans="2:21" x14ac:dyDescent="0.25">
      <c r="B27" s="147"/>
      <c r="C27" s="147"/>
      <c r="D27" s="136"/>
      <c r="E27" s="146"/>
      <c r="F27" s="138"/>
      <c r="G27" s="138"/>
      <c r="H27" s="163"/>
      <c r="I27" s="166"/>
      <c r="J27" s="163"/>
      <c r="K27" s="163"/>
      <c r="M27" s="138"/>
      <c r="N27" s="138"/>
      <c r="O27" s="139"/>
      <c r="P27" s="140"/>
      <c r="Q27" s="138"/>
    </row>
    <row r="28" spans="2:21" x14ac:dyDescent="0.25">
      <c r="B28" s="147"/>
      <c r="C28" s="147"/>
      <c r="D28" s="136"/>
      <c r="E28" s="146"/>
      <c r="F28" s="138"/>
      <c r="G28" s="138"/>
      <c r="H28" s="163"/>
      <c r="I28" s="166"/>
      <c r="J28" s="163"/>
      <c r="K28" s="163"/>
      <c r="M28" s="146"/>
      <c r="N28" s="146"/>
      <c r="O28" s="147"/>
      <c r="P28" s="149"/>
      <c r="Q28" s="146"/>
    </row>
    <row r="29" spans="2:21" x14ac:dyDescent="0.25">
      <c r="B29" s="147"/>
      <c r="C29" s="147"/>
      <c r="D29" s="147"/>
      <c r="E29" s="146"/>
      <c r="F29" s="138"/>
      <c r="G29" s="138"/>
      <c r="H29" s="163"/>
      <c r="I29" s="166"/>
      <c r="J29" s="163"/>
      <c r="K29" s="163"/>
      <c r="M29" s="146"/>
      <c r="N29" s="146"/>
      <c r="O29" s="147"/>
      <c r="P29" s="149"/>
      <c r="Q29" s="146"/>
    </row>
    <row r="30" spans="2:21" x14ac:dyDescent="0.25">
      <c r="B30" s="147"/>
      <c r="C30" s="147"/>
      <c r="D30" s="147"/>
      <c r="E30" s="146"/>
      <c r="F30" s="138"/>
      <c r="G30" s="138"/>
      <c r="H30" s="163"/>
      <c r="I30" s="166"/>
      <c r="J30" s="163"/>
      <c r="K30" s="163"/>
      <c r="M30" s="137"/>
      <c r="O30" s="147"/>
      <c r="P30" s="149"/>
      <c r="Q30" s="146"/>
    </row>
    <row r="31" spans="2:21" x14ac:dyDescent="0.25">
      <c r="B31" s="147"/>
      <c r="C31" s="147"/>
      <c r="D31" s="147"/>
      <c r="E31" s="146"/>
      <c r="F31" s="138"/>
      <c r="G31" s="138"/>
      <c r="H31" s="163"/>
      <c r="I31" s="166"/>
      <c r="J31" s="163"/>
      <c r="K31" s="163"/>
      <c r="M31" s="137"/>
      <c r="O31" s="136"/>
      <c r="P31" s="148"/>
      <c r="Q31" s="146"/>
    </row>
    <row r="32" spans="2:21" x14ac:dyDescent="0.25">
      <c r="B32" s="139"/>
      <c r="C32" s="139"/>
      <c r="D32" s="139"/>
      <c r="E32" s="138"/>
      <c r="F32" s="138"/>
      <c r="G32" s="138"/>
      <c r="H32" s="163"/>
      <c r="I32" s="166"/>
      <c r="J32" s="163"/>
      <c r="K32" s="163"/>
      <c r="O32" s="68"/>
      <c r="P32" s="70"/>
    </row>
    <row r="33" spans="1:24" x14ac:dyDescent="0.25">
      <c r="B33" s="64"/>
      <c r="C33" s="68"/>
      <c r="D33" s="136"/>
      <c r="E33" s="1"/>
      <c r="F33" s="1"/>
      <c r="H33" s="162"/>
      <c r="I33" s="166"/>
      <c r="J33" s="162"/>
      <c r="K33" s="162"/>
      <c r="O33" s="68"/>
      <c r="P33" s="70"/>
    </row>
    <row r="34" spans="1:24" x14ac:dyDescent="0.25">
      <c r="B34" s="64"/>
      <c r="C34" s="68"/>
      <c r="D34" s="136"/>
      <c r="E34" s="1"/>
      <c r="F34" s="1"/>
      <c r="H34" s="162"/>
      <c r="I34" s="166"/>
      <c r="J34" s="162"/>
      <c r="K34" s="162"/>
      <c r="O34" s="68"/>
      <c r="P34" s="70"/>
    </row>
    <row r="35" spans="1:24" x14ac:dyDescent="0.25">
      <c r="B35" s="64"/>
      <c r="C35" s="68"/>
      <c r="D35" s="136"/>
      <c r="E35" s="1"/>
      <c r="F35" s="1"/>
      <c r="H35" s="162"/>
      <c r="I35" s="166"/>
      <c r="J35" s="162"/>
      <c r="K35" s="162"/>
      <c r="O35" s="68"/>
      <c r="P35" s="70"/>
    </row>
    <row r="36" spans="1:24" x14ac:dyDescent="0.25">
      <c r="B36" s="64"/>
      <c r="C36" s="68"/>
      <c r="D36" s="136"/>
      <c r="E36" s="1"/>
      <c r="F36" s="1"/>
      <c r="H36" s="162"/>
      <c r="I36" s="166"/>
      <c r="J36" s="162"/>
      <c r="K36" s="162"/>
      <c r="O36" s="68"/>
      <c r="P36" s="70"/>
    </row>
    <row r="37" spans="1:24" x14ac:dyDescent="0.25">
      <c r="B37" s="64"/>
      <c r="D37" s="64"/>
      <c r="E37" s="1"/>
      <c r="F37" s="1"/>
      <c r="H37" s="162"/>
      <c r="I37" s="166"/>
      <c r="J37" s="162"/>
      <c r="K37" s="162"/>
      <c r="O37" s="68"/>
      <c r="P37" s="70"/>
    </row>
    <row r="38" spans="1:24" x14ac:dyDescent="0.25">
      <c r="H38" s="158"/>
      <c r="I38" s="158"/>
      <c r="J38" s="158"/>
    </row>
    <row r="39" spans="1:24" x14ac:dyDescent="0.25">
      <c r="B39" s="48"/>
      <c r="C39" s="1" t="s">
        <v>97</v>
      </c>
      <c r="T39" s="150"/>
      <c r="U39" s="150"/>
      <c r="V39" s="150"/>
      <c r="W39" s="150"/>
      <c r="X39" s="150"/>
    </row>
    <row r="40" spans="1:24" x14ac:dyDescent="0.25">
      <c r="B40" s="47"/>
      <c r="C40" s="1" t="s">
        <v>98</v>
      </c>
      <c r="T40" s="150"/>
      <c r="U40" s="150"/>
      <c r="V40" s="150"/>
      <c r="W40" s="150"/>
      <c r="X40" s="150"/>
    </row>
    <row r="42" spans="1:24" s="1" customFormat="1" x14ac:dyDescent="0.25">
      <c r="A42"/>
      <c r="B42"/>
      <c r="C42"/>
      <c r="D42"/>
      <c r="E42"/>
      <c r="F42"/>
      <c r="G42"/>
      <c r="H42"/>
      <c r="I42"/>
      <c r="J42"/>
      <c r="K42" s="158"/>
      <c r="L42"/>
      <c r="M42"/>
      <c r="N42"/>
      <c r="O42"/>
      <c r="P42"/>
      <c r="Q42"/>
      <c r="R42"/>
      <c r="S42"/>
      <c r="T42"/>
      <c r="U42"/>
      <c r="V42"/>
    </row>
    <row r="43" spans="1:24" x14ac:dyDescent="0.25">
      <c r="V43" s="1"/>
    </row>
    <row r="44" spans="1:24" x14ac:dyDescent="0.25">
      <c r="A44" s="1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1E4F-5A92-46AB-9A10-74ADD64337C0}">
  <dimension ref="B1:AF59"/>
  <sheetViews>
    <sheetView tabSelected="1" topLeftCell="A14" zoomScale="118" zoomScaleNormal="118" workbookViewId="0">
      <selection activeCell="T25" sqref="T25"/>
    </sheetView>
  </sheetViews>
  <sheetFormatPr defaultColWidth="8.88671875" defaultRowHeight="13.2" x14ac:dyDescent="0.25"/>
  <cols>
    <col min="1" max="1" width="3" style="88" customWidth="1"/>
    <col min="2" max="2" width="16.44140625" style="88" bestFit="1" customWidth="1"/>
    <col min="3" max="3" width="25.33203125" style="88" bestFit="1" customWidth="1"/>
    <col min="4" max="4" width="15.88671875" style="88" bestFit="1" customWidth="1"/>
    <col min="5" max="5" width="20" style="88" bestFit="1" customWidth="1"/>
    <col min="6" max="6" width="13.109375" style="88" bestFit="1" customWidth="1"/>
    <col min="7" max="7" width="19.44140625" style="88" bestFit="1" customWidth="1"/>
    <col min="8" max="12" width="13.109375" style="88" customWidth="1"/>
    <col min="13" max="13" width="12" style="88" bestFit="1" customWidth="1"/>
    <col min="14" max="14" width="7.88671875" style="88" bestFit="1" customWidth="1"/>
    <col min="15" max="15" width="8.109375" style="88" customWidth="1"/>
    <col min="16" max="16" width="12.109375" style="88" bestFit="1" customWidth="1"/>
    <col min="17" max="17" width="12" style="88" bestFit="1" customWidth="1"/>
    <col min="18" max="23" width="8.109375" style="88" customWidth="1"/>
    <col min="24" max="24" width="12.6640625" style="88" bestFit="1" customWidth="1"/>
    <col min="25" max="25" width="7.109375" style="88" customWidth="1"/>
    <col min="26" max="26" width="15.88671875" style="88" bestFit="1" customWidth="1"/>
    <col min="27" max="27" width="63.88671875" style="88" bestFit="1" customWidth="1"/>
    <col min="28" max="28" width="8.33203125" style="88" bestFit="1" customWidth="1"/>
    <col min="29" max="29" width="11.6640625" style="88" customWidth="1"/>
    <col min="30" max="30" width="13.44140625" style="88" customWidth="1"/>
    <col min="31" max="31" width="13.88671875" style="88" customWidth="1"/>
    <col min="32" max="32" width="8.44140625" style="88" customWidth="1"/>
    <col min="33" max="16384" width="8.88671875" style="88"/>
  </cols>
  <sheetData>
    <row r="1" spans="2:32" ht="14.4" x14ac:dyDescent="0.3">
      <c r="B1" s="6" t="s">
        <v>75</v>
      </c>
      <c r="C1" s="6" t="s">
        <v>77</v>
      </c>
      <c r="D1" s="6" t="s">
        <v>99</v>
      </c>
      <c r="E1" s="6" t="s">
        <v>78</v>
      </c>
      <c r="F1" s="6" t="s">
        <v>79</v>
      </c>
      <c r="G1" s="6"/>
      <c r="H1" s="6"/>
      <c r="I1" s="6"/>
      <c r="J1" s="6"/>
      <c r="K1" s="6"/>
      <c r="L1" s="6"/>
      <c r="M1" s="6"/>
      <c r="N1" s="6" t="s">
        <v>100</v>
      </c>
    </row>
    <row r="2" spans="2:32" ht="31.2" x14ac:dyDescent="0.3">
      <c r="B2" s="7" t="str">
        <f>EBF!B18</f>
        <v>MAN</v>
      </c>
      <c r="C2" s="7" t="str">
        <f>EBF!C18</f>
        <v>Manufacturing</v>
      </c>
      <c r="D2" s="50" t="str">
        <f>"Demand Technologies"</f>
        <v>Demand Technologies</v>
      </c>
      <c r="E2" s="7" t="str">
        <f>EBF!P2</f>
        <v>GWh</v>
      </c>
      <c r="F2" s="7" t="str">
        <f>EBF!O2</f>
        <v>TH$2024</v>
      </c>
      <c r="G2" s="7"/>
      <c r="H2" s="7"/>
      <c r="I2" s="7"/>
      <c r="J2" s="7"/>
      <c r="K2" s="7"/>
      <c r="L2" s="7"/>
      <c r="M2" s="7"/>
      <c r="N2" s="7" t="s">
        <v>101</v>
      </c>
      <c r="X2" s="89" t="s">
        <v>14</v>
      </c>
      <c r="Y2" s="89"/>
      <c r="Z2" s="90"/>
      <c r="AA2" s="90"/>
      <c r="AB2" s="90"/>
      <c r="AC2" s="90"/>
      <c r="AD2" s="90"/>
      <c r="AE2" s="90"/>
      <c r="AF2" s="90"/>
    </row>
    <row r="3" spans="2:32" x14ac:dyDescent="0.25">
      <c r="X3" s="91" t="s">
        <v>7</v>
      </c>
      <c r="Y3" s="92" t="s">
        <v>30</v>
      </c>
      <c r="Z3" s="91" t="s">
        <v>0</v>
      </c>
      <c r="AA3" s="91" t="s">
        <v>3</v>
      </c>
      <c r="AB3" s="91" t="s">
        <v>4</v>
      </c>
      <c r="AC3" s="91" t="s">
        <v>8</v>
      </c>
      <c r="AD3" s="91" t="s">
        <v>9</v>
      </c>
      <c r="AE3" s="91" t="s">
        <v>10</v>
      </c>
      <c r="AF3" s="91" t="s">
        <v>12</v>
      </c>
    </row>
    <row r="4" spans="2:32" ht="22.2" thickBot="1" x14ac:dyDescent="0.35"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X4" s="93" t="s">
        <v>37</v>
      </c>
      <c r="Y4" s="93" t="s">
        <v>31</v>
      </c>
      <c r="Z4" s="93" t="s">
        <v>26</v>
      </c>
      <c r="AA4" s="93" t="s">
        <v>27</v>
      </c>
      <c r="AB4" s="93" t="s">
        <v>4</v>
      </c>
      <c r="AC4" s="93" t="s">
        <v>40</v>
      </c>
      <c r="AD4" s="93" t="s">
        <v>41</v>
      </c>
      <c r="AE4" s="93" t="s">
        <v>28</v>
      </c>
      <c r="AF4" s="93" t="s">
        <v>29</v>
      </c>
    </row>
    <row r="5" spans="2:32" ht="15.6" x14ac:dyDescent="0.3"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X5" s="142" t="s">
        <v>82</v>
      </c>
      <c r="Y5" s="142"/>
      <c r="Z5" s="142" t="s">
        <v>213</v>
      </c>
      <c r="AA5" s="142" t="s">
        <v>211</v>
      </c>
      <c r="AB5" s="90" t="s">
        <v>148</v>
      </c>
      <c r="AC5" s="90"/>
      <c r="AD5" s="90"/>
      <c r="AE5" s="90"/>
      <c r="AF5" s="90"/>
    </row>
    <row r="6" spans="2:32" ht="15.6" x14ac:dyDescent="0.3"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X6" s="90" t="s">
        <v>82</v>
      </c>
      <c r="Y6" s="90"/>
      <c r="Z6" s="90" t="s">
        <v>151</v>
      </c>
      <c r="AA6" s="90" t="s">
        <v>201</v>
      </c>
      <c r="AB6" s="90" t="s">
        <v>148</v>
      </c>
      <c r="AC6" s="90"/>
      <c r="AD6" s="90"/>
      <c r="AE6" s="90"/>
      <c r="AF6" s="90"/>
    </row>
    <row r="7" spans="2:32" x14ac:dyDescent="0.25">
      <c r="X7" s="90" t="s">
        <v>139</v>
      </c>
      <c r="Y7" s="90"/>
      <c r="Z7" s="90" t="str">
        <f>$B$2&amp;EBF!C53</f>
        <v>MANCO2</v>
      </c>
      <c r="AA7" s="90" t="str">
        <f>$C$2&amp;" "&amp;EBF!C53</f>
        <v>Manufacturing CO2</v>
      </c>
      <c r="AB7" s="90" t="str">
        <f>EBF!Q2</f>
        <v>ktoe</v>
      </c>
      <c r="AC7" s="90"/>
      <c r="AD7" s="90"/>
      <c r="AE7" s="90"/>
      <c r="AF7" s="90"/>
    </row>
    <row r="8" spans="2:32" x14ac:dyDescent="0.25">
      <c r="X8" s="142" t="s">
        <v>82</v>
      </c>
      <c r="Y8" s="142"/>
      <c r="Z8" s="142" t="s">
        <v>248</v>
      </c>
      <c r="AA8" s="142" t="s">
        <v>212</v>
      </c>
      <c r="AB8" s="154" t="s">
        <v>148</v>
      </c>
      <c r="AC8" s="90"/>
      <c r="AD8" s="90"/>
      <c r="AE8" s="90"/>
      <c r="AF8" s="90"/>
    </row>
    <row r="9" spans="2:32" x14ac:dyDescent="0.25">
      <c r="X9" s="142" t="s">
        <v>46</v>
      </c>
      <c r="Y9" s="142"/>
      <c r="Z9" s="142" t="s">
        <v>46</v>
      </c>
      <c r="AA9" s="142" t="s">
        <v>85</v>
      </c>
      <c r="AB9" s="154" t="s">
        <v>148</v>
      </c>
      <c r="AC9" s="90"/>
      <c r="AD9" s="90"/>
      <c r="AE9" s="90"/>
      <c r="AF9" s="90"/>
    </row>
    <row r="10" spans="2:32" x14ac:dyDescent="0.25">
      <c r="X10" s="165"/>
      <c r="Y10" s="165"/>
      <c r="Z10" s="165"/>
      <c r="AA10" s="165"/>
      <c r="AB10" s="154"/>
      <c r="AC10" s="90"/>
      <c r="AD10" s="90"/>
      <c r="AE10" s="90"/>
      <c r="AF10" s="90"/>
    </row>
    <row r="11" spans="2:32" x14ac:dyDescent="0.25">
      <c r="X11" s="154"/>
      <c r="Y11" s="90"/>
      <c r="Z11" s="154"/>
      <c r="AA11" s="154"/>
      <c r="AB11" s="154"/>
      <c r="AC11" s="90"/>
      <c r="AD11" s="90"/>
      <c r="AE11" s="90"/>
      <c r="AF11" s="90"/>
    </row>
    <row r="12" spans="2:32" x14ac:dyDescent="0.25">
      <c r="X12" s="154"/>
      <c r="Y12" s="90"/>
      <c r="Z12" s="154"/>
      <c r="AA12" s="154"/>
      <c r="AB12" s="154"/>
      <c r="AC12" s="90"/>
      <c r="AD12" s="90"/>
      <c r="AE12" s="90"/>
      <c r="AF12" s="90"/>
    </row>
    <row r="13" spans="2:32" x14ac:dyDescent="0.25">
      <c r="X13" s="154"/>
      <c r="Y13" s="90"/>
      <c r="Z13" s="154"/>
      <c r="AA13" s="154"/>
      <c r="AB13" s="154"/>
      <c r="AC13" s="90"/>
      <c r="AD13" s="90"/>
      <c r="AE13" s="90"/>
      <c r="AF13" s="90"/>
    </row>
    <row r="14" spans="2:32" x14ac:dyDescent="0.25">
      <c r="X14" s="154"/>
      <c r="Y14" s="90"/>
      <c r="Z14" s="154"/>
      <c r="AA14" s="154"/>
      <c r="AB14" s="154"/>
      <c r="AC14" s="90"/>
      <c r="AD14" s="90"/>
      <c r="AE14" s="90"/>
      <c r="AF14" s="90"/>
    </row>
    <row r="16" spans="2:32" x14ac:dyDescent="0.25">
      <c r="D16" s="3" t="s">
        <v>13</v>
      </c>
      <c r="E16" s="3"/>
      <c r="F16" s="3"/>
      <c r="G16" s="3"/>
      <c r="H16" s="3"/>
      <c r="I16" s="3"/>
      <c r="J16" s="3"/>
      <c r="K16" s="3"/>
      <c r="L16" s="3"/>
      <c r="N16" s="3"/>
      <c r="O16" s="94"/>
      <c r="P16" s="94"/>
      <c r="Q16" s="94"/>
      <c r="R16" s="94"/>
      <c r="S16" s="94"/>
      <c r="T16" s="94"/>
      <c r="U16" s="94"/>
      <c r="V16" s="94"/>
      <c r="W16" s="94"/>
      <c r="X16" s="89" t="s">
        <v>15</v>
      </c>
      <c r="Y16" s="89"/>
      <c r="Z16" s="90"/>
      <c r="AA16" s="90"/>
      <c r="AB16" s="90"/>
      <c r="AC16" s="90"/>
      <c r="AD16" s="90"/>
      <c r="AE16" s="90"/>
      <c r="AF16" s="90"/>
    </row>
    <row r="17" spans="2:32" ht="24" customHeight="1" x14ac:dyDescent="0.25">
      <c r="B17" s="52" t="s">
        <v>1</v>
      </c>
      <c r="C17" s="52" t="s">
        <v>5</v>
      </c>
      <c r="D17" s="52" t="s">
        <v>6</v>
      </c>
      <c r="E17" s="95" t="s">
        <v>214</v>
      </c>
      <c r="F17" s="96" t="s">
        <v>264</v>
      </c>
      <c r="G17" s="96" t="s">
        <v>243</v>
      </c>
      <c r="H17" s="96" t="s">
        <v>244</v>
      </c>
      <c r="I17" s="96" t="s">
        <v>245</v>
      </c>
      <c r="J17" s="96" t="s">
        <v>246</v>
      </c>
      <c r="K17" s="96" t="s">
        <v>247</v>
      </c>
      <c r="L17" s="96" t="s">
        <v>263</v>
      </c>
      <c r="M17" s="95" t="s">
        <v>102</v>
      </c>
      <c r="N17" s="95" t="s">
        <v>103</v>
      </c>
      <c r="O17" s="95" t="s">
        <v>104</v>
      </c>
      <c r="P17" s="95" t="s">
        <v>209</v>
      </c>
      <c r="Q17" s="95" t="s">
        <v>156</v>
      </c>
      <c r="R17" s="95" t="s">
        <v>157</v>
      </c>
      <c r="S17" s="95" t="s">
        <v>255</v>
      </c>
      <c r="T17" s="95" t="s">
        <v>149</v>
      </c>
      <c r="U17" s="95" t="s">
        <v>240</v>
      </c>
      <c r="V17" s="95" t="s">
        <v>258</v>
      </c>
      <c r="W17" s="155"/>
      <c r="X17" s="91" t="s">
        <v>11</v>
      </c>
      <c r="Y17" s="92" t="s">
        <v>30</v>
      </c>
      <c r="Z17" s="91" t="s">
        <v>1</v>
      </c>
      <c r="AA17" s="91" t="s">
        <v>2</v>
      </c>
      <c r="AB17" s="91" t="s">
        <v>16</v>
      </c>
      <c r="AC17" s="91" t="s">
        <v>17</v>
      </c>
      <c r="AD17" s="91" t="s">
        <v>18</v>
      </c>
      <c r="AE17" s="91" t="s">
        <v>19</v>
      </c>
      <c r="AF17" s="91" t="s">
        <v>20</v>
      </c>
    </row>
    <row r="18" spans="2:32" ht="31.8" thickBot="1" x14ac:dyDescent="0.3">
      <c r="B18" s="97" t="s">
        <v>39</v>
      </c>
      <c r="C18" s="97" t="s">
        <v>32</v>
      </c>
      <c r="D18" s="97" t="s">
        <v>33</v>
      </c>
      <c r="E18" s="97" t="s">
        <v>105</v>
      </c>
      <c r="F18" s="97" t="s">
        <v>140</v>
      </c>
      <c r="G18" s="97" t="s">
        <v>140</v>
      </c>
      <c r="H18" s="97" t="s">
        <v>140</v>
      </c>
      <c r="I18" s="97" t="s">
        <v>140</v>
      </c>
      <c r="J18" s="97" t="s">
        <v>140</v>
      </c>
      <c r="K18" s="97" t="s">
        <v>140</v>
      </c>
      <c r="L18" s="97" t="s">
        <v>140</v>
      </c>
      <c r="M18" s="97" t="s">
        <v>106</v>
      </c>
      <c r="N18" s="98" t="s">
        <v>107</v>
      </c>
      <c r="O18" s="97" t="s">
        <v>113</v>
      </c>
      <c r="P18" s="97" t="s">
        <v>210</v>
      </c>
      <c r="Q18" s="97" t="s">
        <v>158</v>
      </c>
      <c r="R18" s="98" t="s">
        <v>159</v>
      </c>
      <c r="S18" s="98" t="s">
        <v>256</v>
      </c>
      <c r="T18" s="97" t="s">
        <v>150</v>
      </c>
      <c r="U18" s="97" t="s">
        <v>241</v>
      </c>
      <c r="V18" s="97" t="s">
        <v>259</v>
      </c>
      <c r="W18" s="156"/>
      <c r="X18" s="93" t="s">
        <v>38</v>
      </c>
      <c r="Y18" s="93" t="s">
        <v>31</v>
      </c>
      <c r="Z18" s="93" t="s">
        <v>21</v>
      </c>
      <c r="AA18" s="93" t="s">
        <v>22</v>
      </c>
      <c r="AB18" s="93" t="s">
        <v>23</v>
      </c>
      <c r="AC18" s="93" t="s">
        <v>24</v>
      </c>
      <c r="AD18" s="93" t="s">
        <v>43</v>
      </c>
      <c r="AE18" s="93" t="s">
        <v>42</v>
      </c>
      <c r="AF18" s="93" t="s">
        <v>25</v>
      </c>
    </row>
    <row r="19" spans="2:32" ht="21.6" thickBot="1" x14ac:dyDescent="0.3">
      <c r="B19" s="99" t="s">
        <v>87</v>
      </c>
      <c r="C19" s="99"/>
      <c r="D19" s="99"/>
      <c r="E19" s="100" t="s">
        <v>192</v>
      </c>
      <c r="F19" s="100" t="s">
        <v>208</v>
      </c>
      <c r="G19" s="100" t="s">
        <v>208</v>
      </c>
      <c r="H19" s="100" t="s">
        <v>208</v>
      </c>
      <c r="I19" s="100" t="s">
        <v>208</v>
      </c>
      <c r="J19" s="100" t="s">
        <v>208</v>
      </c>
      <c r="K19" s="100" t="s">
        <v>208</v>
      </c>
      <c r="L19" s="100" t="s">
        <v>208</v>
      </c>
      <c r="M19" s="100"/>
      <c r="N19" s="101"/>
      <c r="O19" s="100" t="s">
        <v>108</v>
      </c>
      <c r="P19" s="100"/>
      <c r="Q19" s="100" t="s">
        <v>254</v>
      </c>
      <c r="R19" s="100" t="s">
        <v>257</v>
      </c>
      <c r="S19" s="100" t="s">
        <v>266</v>
      </c>
      <c r="T19" s="100"/>
      <c r="U19" s="100" t="s">
        <v>242</v>
      </c>
      <c r="V19" s="100"/>
      <c r="W19" s="157"/>
      <c r="X19" s="93" t="s">
        <v>81</v>
      </c>
      <c r="Y19" s="93"/>
      <c r="Z19" s="93"/>
      <c r="AA19" s="93"/>
      <c r="AB19" s="93"/>
      <c r="AC19" s="93"/>
      <c r="AD19" s="93"/>
      <c r="AE19" s="93"/>
      <c r="AF19" s="93"/>
    </row>
    <row r="20" spans="2:32" x14ac:dyDescent="0.25">
      <c r="B20" s="88" t="str">
        <f>Z$20</f>
        <v>Kiln</v>
      </c>
      <c r="C20" s="88" t="str">
        <f>PRI_Sector_Fuels!O5</f>
        <v>MANCOALMIN</v>
      </c>
      <c r="D20" s="90" t="str">
        <f>Z8</f>
        <v>CEMENTHEAT</v>
      </c>
      <c r="E20" s="105"/>
      <c r="F20" s="102">
        <v>0.59</v>
      </c>
      <c r="G20" s="180"/>
      <c r="H20" s="180"/>
      <c r="I20" s="180"/>
      <c r="J20" s="180"/>
      <c r="K20" s="180"/>
      <c r="L20" s="180"/>
      <c r="M20" s="103">
        <v>0.55600000000000005</v>
      </c>
      <c r="N20" s="103">
        <v>1</v>
      </c>
      <c r="O20" s="121">
        <v>25</v>
      </c>
      <c r="P20" s="121"/>
      <c r="Q20" s="188">
        <v>628.9</v>
      </c>
      <c r="R20" s="189">
        <v>4.46</v>
      </c>
      <c r="S20" s="189">
        <v>0.45</v>
      </c>
      <c r="T20" s="104">
        <v>8.76</v>
      </c>
      <c r="U20" s="104"/>
      <c r="V20" s="104"/>
      <c r="W20" s="110"/>
      <c r="X20" s="145" t="s">
        <v>109</v>
      </c>
      <c r="Z20" s="88" t="s">
        <v>141</v>
      </c>
      <c r="AA20" s="88" t="s">
        <v>193</v>
      </c>
      <c r="AB20" s="90" t="str">
        <f>$E$2</f>
        <v>GWh</v>
      </c>
      <c r="AC20" s="90" t="s">
        <v>142</v>
      </c>
      <c r="AD20" s="154" t="s">
        <v>202</v>
      </c>
      <c r="AE20" s="154"/>
      <c r="AF20" s="90"/>
    </row>
    <row r="21" spans="2:32" x14ac:dyDescent="0.25">
      <c r="B21" s="88" t="str">
        <f>Z$20</f>
        <v>Kiln</v>
      </c>
      <c r="C21" s="88" t="str">
        <f>PRI_Sector_Fuels!O6</f>
        <v>MANCOALIMP</v>
      </c>
      <c r="D21" s="90" t="str">
        <f>Z$8</f>
        <v>CEMENTHEAT</v>
      </c>
      <c r="E21" s="105"/>
      <c r="F21" s="109">
        <v>0.41136476969163144</v>
      </c>
      <c r="G21" s="109">
        <v>0.25</v>
      </c>
      <c r="H21" s="109">
        <v>0.25</v>
      </c>
      <c r="I21" s="109">
        <v>0.25</v>
      </c>
      <c r="J21" s="109">
        <v>0.25</v>
      </c>
      <c r="K21" s="109">
        <v>0.25</v>
      </c>
      <c r="L21" s="109">
        <v>0.25</v>
      </c>
      <c r="M21" s="103">
        <v>0.55600000000000005</v>
      </c>
      <c r="N21" s="103">
        <v>1</v>
      </c>
      <c r="O21" s="121">
        <v>25</v>
      </c>
      <c r="P21" s="121"/>
      <c r="Q21" s="188">
        <v>628.9</v>
      </c>
      <c r="R21" s="189">
        <v>4.46</v>
      </c>
      <c r="S21" s="189">
        <v>0.45</v>
      </c>
      <c r="T21" s="104">
        <v>8.76</v>
      </c>
      <c r="U21" s="104"/>
      <c r="V21" s="104"/>
      <c r="W21" s="110"/>
      <c r="X21" s="145" t="s">
        <v>109</v>
      </c>
      <c r="Z21" s="88" t="s">
        <v>143</v>
      </c>
      <c r="AA21" s="88" t="s">
        <v>144</v>
      </c>
      <c r="AB21" s="90" t="str">
        <f>$E$2</f>
        <v>GWh</v>
      </c>
      <c r="AC21" s="90" t="s">
        <v>142</v>
      </c>
      <c r="AD21" s="154" t="s">
        <v>202</v>
      </c>
      <c r="AE21" s="154"/>
      <c r="AF21" s="90"/>
    </row>
    <row r="22" spans="2:32" x14ac:dyDescent="0.25">
      <c r="B22" s="88" t="str">
        <f>Z$21</f>
        <v>Boiler</v>
      </c>
      <c r="C22" s="88" t="str">
        <f>PRI_Sector_Fuels!O7</f>
        <v>MANOILIMP</v>
      </c>
      <c r="D22" s="90" t="str">
        <f>Z$5</f>
        <v>MANHEAT</v>
      </c>
      <c r="E22" s="105"/>
      <c r="F22" s="102">
        <v>1</v>
      </c>
      <c r="G22" s="102"/>
      <c r="H22" s="102"/>
      <c r="I22" s="102"/>
      <c r="J22" s="102"/>
      <c r="K22" s="102"/>
      <c r="L22" s="102"/>
      <c r="M22" s="103">
        <v>0.8</v>
      </c>
      <c r="N22" s="105">
        <v>1</v>
      </c>
      <c r="O22" s="104">
        <v>25</v>
      </c>
      <c r="P22" s="121"/>
      <c r="Q22" s="188">
        <v>62.9</v>
      </c>
      <c r="R22" s="189">
        <v>2.2999999999999998</v>
      </c>
      <c r="S22" s="189">
        <v>1.82</v>
      </c>
      <c r="T22" s="104">
        <v>8.76</v>
      </c>
      <c r="U22" s="104"/>
      <c r="V22" s="104"/>
      <c r="W22" s="110"/>
      <c r="X22" s="88" t="s">
        <v>109</v>
      </c>
      <c r="Z22" s="145" t="s">
        <v>265</v>
      </c>
      <c r="AA22" s="88" t="s">
        <v>198</v>
      </c>
      <c r="AB22" s="88" t="s">
        <v>148</v>
      </c>
      <c r="AC22" s="88" t="s">
        <v>142</v>
      </c>
      <c r="AD22" s="154" t="s">
        <v>202</v>
      </c>
    </row>
    <row r="23" spans="2:32" s="141" customFormat="1" x14ac:dyDescent="0.25">
      <c r="B23" s="94" t="str">
        <f>Z22</f>
        <v>MANELC_TECH</v>
      </c>
      <c r="C23" s="142" t="str">
        <f>Z9</f>
        <v>ELC</v>
      </c>
      <c r="D23" s="90" t="str">
        <f>Z6</f>
        <v>MANELC</v>
      </c>
      <c r="E23" s="105"/>
      <c r="F23" s="144">
        <v>1</v>
      </c>
      <c r="G23" s="144"/>
      <c r="H23" s="144"/>
      <c r="I23" s="144"/>
      <c r="J23" s="144"/>
      <c r="K23" s="144"/>
      <c r="L23" s="144"/>
      <c r="M23" s="141">
        <v>1</v>
      </c>
      <c r="N23" s="141">
        <v>1</v>
      </c>
      <c r="O23" s="141">
        <v>50</v>
      </c>
      <c r="R23" s="110"/>
      <c r="S23" s="110"/>
      <c r="T23" s="104">
        <v>8.76</v>
      </c>
      <c r="U23" s="104"/>
      <c r="V23" s="104">
        <v>1</v>
      </c>
      <c r="X23" s="141" t="s">
        <v>46</v>
      </c>
      <c r="Z23" s="141" t="s">
        <v>268</v>
      </c>
      <c r="AA23" s="141" t="s">
        <v>269</v>
      </c>
      <c r="AB23" s="88" t="s">
        <v>148</v>
      </c>
      <c r="AC23" s="88" t="s">
        <v>142</v>
      </c>
      <c r="AD23" s="154" t="s">
        <v>202</v>
      </c>
    </row>
    <row r="24" spans="2:32" s="141" customFormat="1" x14ac:dyDescent="0.25">
      <c r="B24" s="94" t="s">
        <v>141</v>
      </c>
      <c r="C24" s="142"/>
      <c r="D24" s="154" t="s">
        <v>239</v>
      </c>
      <c r="E24" s="143"/>
      <c r="F24" s="144"/>
      <c r="G24" s="144"/>
      <c r="H24" s="144"/>
      <c r="I24" s="144"/>
      <c r="J24" s="144"/>
      <c r="K24" s="144"/>
      <c r="L24" s="144"/>
      <c r="R24" s="110"/>
      <c r="S24" s="110"/>
      <c r="T24" s="104"/>
      <c r="U24" s="104">
        <v>0.34100000000000003</v>
      </c>
      <c r="V24" s="104"/>
      <c r="AB24" s="94"/>
      <c r="AC24" s="94"/>
    </row>
    <row r="25" spans="2:32" s="141" customFormat="1" x14ac:dyDescent="0.25">
      <c r="B25" s="94" t="s">
        <v>143</v>
      </c>
      <c r="C25" s="142"/>
      <c r="D25" s="154" t="s">
        <v>239</v>
      </c>
      <c r="E25" s="143"/>
      <c r="F25" s="144"/>
      <c r="G25" s="144"/>
      <c r="H25" s="144"/>
      <c r="I25" s="144"/>
      <c r="J25" s="144"/>
      <c r="K25" s="144"/>
      <c r="L25" s="144"/>
      <c r="R25" s="110"/>
      <c r="S25" s="110"/>
      <c r="T25" s="104"/>
      <c r="U25" s="104">
        <v>0.25900000000000001</v>
      </c>
      <c r="V25" s="104"/>
      <c r="AB25" s="94"/>
      <c r="AC25" s="94"/>
    </row>
    <row r="26" spans="2:32" s="141" customFormat="1" x14ac:dyDescent="0.25">
      <c r="B26" s="94" t="str">
        <f>Z23</f>
        <v>ELCAGG</v>
      </c>
      <c r="C26" s="142" t="str">
        <f>PRI_Sector_Fuels!D26</f>
        <v>GRIDELC</v>
      </c>
      <c r="D26" s="154" t="str">
        <f>Z9</f>
        <v>ELC</v>
      </c>
      <c r="E26" s="143"/>
      <c r="F26" s="144"/>
      <c r="G26" s="144"/>
      <c r="H26" s="144"/>
      <c r="I26" s="144"/>
      <c r="J26" s="144"/>
      <c r="K26" s="144"/>
      <c r="L26" s="144"/>
      <c r="M26" s="141">
        <v>1</v>
      </c>
      <c r="N26" s="141">
        <v>1</v>
      </c>
      <c r="O26" s="141">
        <v>50</v>
      </c>
      <c r="Q26" s="141">
        <v>0</v>
      </c>
      <c r="R26" s="110">
        <v>0</v>
      </c>
      <c r="S26" s="110">
        <v>0</v>
      </c>
      <c r="T26" s="110">
        <v>8.76</v>
      </c>
      <c r="U26" s="110"/>
      <c r="AB26" s="94"/>
      <c r="AC26" s="94"/>
    </row>
    <row r="27" spans="2:32" s="141" customFormat="1" x14ac:dyDescent="0.25">
      <c r="B27" s="94"/>
      <c r="C27" s="142"/>
      <c r="D27" s="154"/>
      <c r="E27" s="143"/>
      <c r="F27" s="144"/>
      <c r="G27" s="144"/>
      <c r="H27" s="144"/>
      <c r="I27" s="144"/>
      <c r="J27" s="144"/>
      <c r="K27" s="144"/>
      <c r="L27" s="144"/>
      <c r="R27" s="110"/>
      <c r="S27" s="110"/>
      <c r="T27" s="110"/>
      <c r="U27" s="110"/>
      <c r="AB27" s="94"/>
      <c r="AC27" s="94"/>
    </row>
    <row r="28" spans="2:32" s="141" customFormat="1" x14ac:dyDescent="0.25">
      <c r="AB28" s="94"/>
      <c r="AC28" s="94"/>
      <c r="AD28" s="152"/>
    </row>
    <row r="29" spans="2:32" s="141" customFormat="1" x14ac:dyDescent="0.25">
      <c r="AC29" s="94"/>
    </row>
    <row r="30" spans="2:32" s="110" customFormat="1" x14ac:dyDescent="0.25">
      <c r="B30" s="145"/>
      <c r="C30" s="90"/>
      <c r="D30" s="90"/>
      <c r="E30" s="143"/>
      <c r="F30" s="144"/>
      <c r="G30" s="144"/>
      <c r="H30" s="144"/>
      <c r="I30" s="144"/>
      <c r="J30" s="144"/>
      <c r="K30" s="144"/>
      <c r="L30" s="144"/>
      <c r="M30" s="141"/>
      <c r="N30" s="141"/>
      <c r="O30" s="141"/>
      <c r="P30" s="141"/>
      <c r="Q30" s="141"/>
    </row>
    <row r="31" spans="2:32" x14ac:dyDescent="0.25">
      <c r="B31" s="145"/>
      <c r="C31" s="90"/>
      <c r="D31" s="90"/>
      <c r="E31" s="143"/>
      <c r="F31" s="144"/>
      <c r="G31" s="144"/>
      <c r="H31" s="144"/>
      <c r="I31" s="144"/>
      <c r="J31" s="144"/>
      <c r="K31" s="144"/>
      <c r="L31" s="144"/>
      <c r="M31" s="141"/>
      <c r="N31" s="141"/>
      <c r="O31" s="141"/>
      <c r="P31" s="141"/>
      <c r="Q31" s="141"/>
    </row>
    <row r="32" spans="2:32" x14ac:dyDescent="0.25">
      <c r="B32" s="145"/>
      <c r="C32" s="90"/>
      <c r="D32" s="142"/>
      <c r="E32" s="143"/>
      <c r="F32" s="144"/>
      <c r="G32" s="144"/>
      <c r="H32" s="144"/>
      <c r="I32" s="144"/>
      <c r="J32" s="144"/>
      <c r="K32" s="144"/>
      <c r="L32" s="144"/>
      <c r="M32" s="141"/>
      <c r="N32" s="141"/>
      <c r="O32" s="141"/>
      <c r="P32" s="141"/>
      <c r="Q32" s="141"/>
    </row>
    <row r="33" spans="2:30" x14ac:dyDescent="0.25">
      <c r="E33" s="145"/>
      <c r="F33" s="106"/>
      <c r="G33" s="106"/>
      <c r="H33" s="106"/>
      <c r="I33" s="106"/>
      <c r="J33" s="106"/>
      <c r="K33" s="106"/>
      <c r="L33" s="106"/>
      <c r="N33" s="164"/>
      <c r="Q33" s="164"/>
      <c r="AB33" s="90"/>
      <c r="AC33" s="90"/>
      <c r="AD33" s="151"/>
    </row>
    <row r="34" spans="2:30" x14ac:dyDescent="0.25">
      <c r="E34" s="145"/>
      <c r="F34" s="106"/>
      <c r="G34" s="106"/>
      <c r="H34" s="106"/>
      <c r="I34" s="106"/>
      <c r="J34" s="106"/>
      <c r="K34" s="106"/>
      <c r="L34" s="106"/>
      <c r="N34" s="164"/>
      <c r="Q34" s="164"/>
      <c r="Y34" s="110"/>
      <c r="AA34" s="110"/>
      <c r="AB34" s="111"/>
      <c r="AC34" s="111"/>
    </row>
    <row r="35" spans="2:30" x14ac:dyDescent="0.25">
      <c r="E35" s="145"/>
      <c r="F35" s="106"/>
      <c r="G35" s="106"/>
      <c r="H35" s="106"/>
      <c r="I35" s="106"/>
      <c r="J35" s="106"/>
      <c r="K35" s="106"/>
      <c r="L35" s="106"/>
      <c r="N35" s="107"/>
      <c r="Q35" s="164"/>
    </row>
    <row r="36" spans="2:30" x14ac:dyDescent="0.25">
      <c r="E36" s="145"/>
      <c r="N36" s="107"/>
      <c r="O36" s="106"/>
      <c r="Q36" s="164"/>
    </row>
    <row r="37" spans="2:30" x14ac:dyDescent="0.25">
      <c r="B37" s="104"/>
      <c r="C37" s="88" t="s">
        <v>97</v>
      </c>
      <c r="N37" s="107"/>
    </row>
    <row r="38" spans="2:30" x14ac:dyDescent="0.25">
      <c r="B38" s="108"/>
      <c r="C38" s="88" t="s">
        <v>98</v>
      </c>
      <c r="N38" s="107"/>
    </row>
    <row r="39" spans="2:30" x14ac:dyDescent="0.25">
      <c r="N39" s="107"/>
    </row>
    <row r="42" spans="2:30" x14ac:dyDescent="0.25">
      <c r="E42" s="21"/>
    </row>
    <row r="44" spans="2:30" x14ac:dyDescent="0.25">
      <c r="B44" s="88" t="s">
        <v>39</v>
      </c>
      <c r="C44" s="88" t="s">
        <v>32</v>
      </c>
      <c r="D44" s="88" t="s">
        <v>33</v>
      </c>
      <c r="E44" s="88" t="s">
        <v>105</v>
      </c>
      <c r="F44" s="88" t="s">
        <v>140</v>
      </c>
      <c r="G44" s="88" t="s">
        <v>140</v>
      </c>
      <c r="H44" s="88" t="s">
        <v>140</v>
      </c>
      <c r="I44" s="88" t="s">
        <v>140</v>
      </c>
      <c r="J44" s="88" t="s">
        <v>140</v>
      </c>
      <c r="K44" s="88" t="s">
        <v>140</v>
      </c>
      <c r="L44" s="88" t="s">
        <v>140</v>
      </c>
    </row>
    <row r="45" spans="2:30" x14ac:dyDescent="0.25">
      <c r="B45" s="94" t="s">
        <v>87</v>
      </c>
      <c r="C45" s="142"/>
      <c r="D45" s="90"/>
      <c r="E45" s="143" t="s">
        <v>192</v>
      </c>
      <c r="F45" s="144" t="s">
        <v>208</v>
      </c>
      <c r="G45" s="144" t="s">
        <v>208</v>
      </c>
      <c r="H45" s="144" t="s">
        <v>208</v>
      </c>
      <c r="I45" s="144" t="s">
        <v>208</v>
      </c>
      <c r="J45" s="144" t="s">
        <v>208</v>
      </c>
      <c r="K45" s="144" t="s">
        <v>208</v>
      </c>
      <c r="L45" s="144" t="s">
        <v>208</v>
      </c>
      <c r="M45" s="141"/>
      <c r="N45" s="141"/>
      <c r="O45" s="141"/>
      <c r="P45" s="141"/>
      <c r="Q45" s="141"/>
      <c r="R45" s="141"/>
      <c r="S45" s="141"/>
      <c r="T45" s="141"/>
    </row>
    <row r="46" spans="2:30" x14ac:dyDescent="0.25">
      <c r="B46" s="94" t="s">
        <v>141</v>
      </c>
      <c r="C46" s="142" t="s">
        <v>260</v>
      </c>
      <c r="D46" s="90" t="s">
        <v>248</v>
      </c>
      <c r="E46" s="143"/>
      <c r="F46" s="144">
        <v>0.59</v>
      </c>
      <c r="G46" s="144"/>
      <c r="H46" s="144"/>
      <c r="I46" s="144"/>
      <c r="J46" s="144"/>
      <c r="K46" s="144"/>
      <c r="L46" s="144"/>
      <c r="M46" s="141"/>
      <c r="N46" s="141"/>
      <c r="O46" s="141"/>
      <c r="P46" s="141"/>
      <c r="Q46" s="141"/>
      <c r="R46" s="141"/>
      <c r="S46" s="141"/>
      <c r="T46" s="141"/>
    </row>
    <row r="47" spans="2:30" x14ac:dyDescent="0.25">
      <c r="B47" s="88" t="s">
        <v>141</v>
      </c>
      <c r="C47" s="88" t="s">
        <v>261</v>
      </c>
      <c r="D47" s="88" t="s">
        <v>248</v>
      </c>
      <c r="F47" s="88">
        <v>0.41136476969163144</v>
      </c>
      <c r="G47" s="88">
        <v>0.23585310113354352</v>
      </c>
      <c r="H47" s="88">
        <v>7.3264515611810618E-2</v>
      </c>
      <c r="I47" s="88">
        <v>1.9847450096360672E-2</v>
      </c>
      <c r="J47" s="88">
        <v>5.1598550415568115E-3</v>
      </c>
      <c r="K47" s="88">
        <v>1.3267245984926927E-3</v>
      </c>
      <c r="L47" s="88">
        <v>3.4015961616990566E-4</v>
      </c>
    </row>
    <row r="48" spans="2:30" x14ac:dyDescent="0.25">
      <c r="B48" s="88" t="s">
        <v>143</v>
      </c>
      <c r="C48" s="88" t="s">
        <v>262</v>
      </c>
      <c r="D48" s="88" t="s">
        <v>213</v>
      </c>
      <c r="F48" s="88">
        <v>1</v>
      </c>
      <c r="G48" s="88">
        <v>1</v>
      </c>
      <c r="H48" s="88">
        <v>1</v>
      </c>
      <c r="I48" s="88">
        <v>1</v>
      </c>
      <c r="J48" s="88">
        <v>1</v>
      </c>
      <c r="K48" s="88">
        <v>1</v>
      </c>
      <c r="L48" s="88">
        <v>1</v>
      </c>
    </row>
    <row r="49" spans="2:12" x14ac:dyDescent="0.25">
      <c r="B49" s="88" t="s">
        <v>151</v>
      </c>
      <c r="C49" s="88" t="s">
        <v>46</v>
      </c>
      <c r="D49" s="88" t="s">
        <v>151</v>
      </c>
      <c r="F49" s="88">
        <v>1</v>
      </c>
      <c r="G49" s="88">
        <v>1</v>
      </c>
      <c r="H49" s="88">
        <v>1</v>
      </c>
      <c r="I49" s="88">
        <v>1</v>
      </c>
      <c r="J49" s="88">
        <v>1</v>
      </c>
      <c r="K49" s="88">
        <v>1</v>
      </c>
      <c r="L49" s="88">
        <v>1</v>
      </c>
    </row>
    <row r="50" spans="2:12" x14ac:dyDescent="0.25">
      <c r="H50" s="178"/>
      <c r="I50" s="179"/>
    </row>
    <row r="53" spans="2:12" x14ac:dyDescent="0.25">
      <c r="G53" s="145"/>
      <c r="I53" s="145"/>
    </row>
    <row r="54" spans="2:12" x14ac:dyDescent="0.25">
      <c r="G54" s="145"/>
    </row>
    <row r="55" spans="2:12" s="94" customFormat="1" x14ac:dyDescent="0.25">
      <c r="H55" s="143"/>
    </row>
    <row r="56" spans="2:12" x14ac:dyDescent="0.25">
      <c r="F56" s="145"/>
      <c r="G56" s="145"/>
    </row>
    <row r="58" spans="2:12" x14ac:dyDescent="0.25">
      <c r="F58" s="145"/>
    </row>
    <row r="59" spans="2:12" x14ac:dyDescent="0.25">
      <c r="F59" s="145"/>
      <c r="H59" s="105"/>
    </row>
  </sheetData>
  <phoneticPr fontId="34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1942-68EF-4347-B180-1E2F29F43F6F}">
  <dimension ref="B1:U59"/>
  <sheetViews>
    <sheetView topLeftCell="A6" zoomScale="226" zoomScaleNormal="226" workbookViewId="0">
      <selection activeCell="C10" sqref="C10"/>
    </sheetView>
  </sheetViews>
  <sheetFormatPr defaultColWidth="25.6640625" defaultRowHeight="13.2" x14ac:dyDescent="0.25"/>
  <cols>
    <col min="1" max="1" width="7.109375" customWidth="1"/>
    <col min="2" max="2" width="12.33203125" bestFit="1" customWidth="1"/>
    <col min="3" max="3" width="26" bestFit="1" customWidth="1"/>
    <col min="4" max="4" width="11.109375" bestFit="1" customWidth="1"/>
    <col min="5" max="5" width="12.6640625" bestFit="1" customWidth="1"/>
    <col min="6" max="6" width="13.109375" bestFit="1" customWidth="1"/>
    <col min="7" max="7" width="9.33203125" customWidth="1"/>
    <col min="8" max="8" width="9" bestFit="1" customWidth="1"/>
    <col min="9" max="9" width="12.109375" bestFit="1" customWidth="1"/>
    <col min="10" max="12" width="7.5546875" customWidth="1"/>
    <col min="13" max="13" width="9" bestFit="1" customWidth="1"/>
    <col min="14" max="14" width="12.109375" bestFit="1" customWidth="1"/>
    <col min="15" max="17" width="7.5546875" customWidth="1"/>
    <col min="18" max="18" width="9" bestFit="1" customWidth="1"/>
    <col min="19" max="19" width="14.109375" bestFit="1" customWidth="1"/>
    <col min="20" max="22" width="7.5546875" customWidth="1"/>
  </cols>
  <sheetData>
    <row r="1" spans="2:21" ht="14.4" x14ac:dyDescent="0.3">
      <c r="B1" s="6" t="s">
        <v>75</v>
      </c>
      <c r="C1" s="6" t="s">
        <v>76</v>
      </c>
      <c r="D1" s="6" t="s">
        <v>77</v>
      </c>
      <c r="E1" s="6" t="s">
        <v>78</v>
      </c>
      <c r="F1" s="6" t="s">
        <v>79</v>
      </c>
    </row>
    <row r="2" spans="2:21" ht="15.6" x14ac:dyDescent="0.3">
      <c r="B2" s="7" t="s">
        <v>82</v>
      </c>
      <c r="C2" s="7"/>
      <c r="D2" s="7"/>
      <c r="E2" s="7" t="str">
        <f>EBF!P2</f>
        <v>GWh</v>
      </c>
      <c r="F2" s="7" t="str">
        <f>EBF!O2</f>
        <v>TH$2024</v>
      </c>
    </row>
    <row r="5" spans="2:21" x14ac:dyDescent="0.25">
      <c r="C5" s="115" t="s">
        <v>13</v>
      </c>
      <c r="D5" s="115"/>
      <c r="E5" s="1"/>
    </row>
    <row r="6" spans="2:21" x14ac:dyDescent="0.25">
      <c r="B6" s="114" t="s">
        <v>160</v>
      </c>
      <c r="C6" s="114" t="s">
        <v>0</v>
      </c>
      <c r="D6" s="114" t="s">
        <v>161</v>
      </c>
      <c r="E6" s="114">
        <v>2022</v>
      </c>
      <c r="J6" s="115" t="s">
        <v>13</v>
      </c>
      <c r="K6" s="1"/>
      <c r="O6" s="115" t="s">
        <v>13</v>
      </c>
      <c r="P6" s="1"/>
      <c r="T6" s="115" t="s">
        <v>13</v>
      </c>
      <c r="U6" s="1"/>
    </row>
    <row r="7" spans="2:21" x14ac:dyDescent="0.25">
      <c r="B7" s="117" t="s">
        <v>81</v>
      </c>
      <c r="C7" s="117" t="s">
        <v>162</v>
      </c>
      <c r="D7" s="117" t="s">
        <v>163</v>
      </c>
      <c r="E7" s="117" t="s">
        <v>164</v>
      </c>
      <c r="H7" s="114" t="s">
        <v>160</v>
      </c>
      <c r="I7" s="114" t="s">
        <v>0</v>
      </c>
      <c r="J7" s="114" t="s">
        <v>166</v>
      </c>
      <c r="K7" s="114">
        <v>2022</v>
      </c>
      <c r="M7" s="114" t="s">
        <v>160</v>
      </c>
      <c r="N7" s="114" t="s">
        <v>0</v>
      </c>
      <c r="O7" s="114" t="s">
        <v>166</v>
      </c>
      <c r="P7" s="114">
        <v>2022</v>
      </c>
      <c r="R7" s="114" t="s">
        <v>160</v>
      </c>
      <c r="S7" s="114" t="s">
        <v>0</v>
      </c>
      <c r="T7" s="114" t="s">
        <v>166</v>
      </c>
      <c r="U7" s="114">
        <v>2022</v>
      </c>
    </row>
    <row r="8" spans="2:21" ht="31.8" thickBot="1" x14ac:dyDescent="0.3">
      <c r="B8" s="116" t="s">
        <v>87</v>
      </c>
      <c r="C8" s="116"/>
      <c r="D8" s="116"/>
      <c r="E8" s="116" t="s">
        <v>148</v>
      </c>
      <c r="H8" s="120" t="s">
        <v>81</v>
      </c>
      <c r="I8" s="120" t="s">
        <v>162</v>
      </c>
      <c r="J8" s="120"/>
      <c r="K8" s="120"/>
      <c r="M8" s="120" t="s">
        <v>81</v>
      </c>
      <c r="N8" s="120" t="s">
        <v>162</v>
      </c>
      <c r="O8" s="120"/>
      <c r="P8" s="120"/>
      <c r="R8" s="120" t="s">
        <v>81</v>
      </c>
      <c r="S8" s="120" t="s">
        <v>162</v>
      </c>
      <c r="T8" s="120"/>
      <c r="U8" s="120"/>
    </row>
    <row r="9" spans="2:21" s="20" customFormat="1" ht="21.6" thickBot="1" x14ac:dyDescent="0.3">
      <c r="B9" s="175" t="s">
        <v>165</v>
      </c>
      <c r="C9" s="175" t="s">
        <v>213</v>
      </c>
      <c r="D9" s="175" t="s">
        <v>148</v>
      </c>
      <c r="E9" s="47">
        <f>EBF!E18</f>
        <v>2605.1202084096003</v>
      </c>
      <c r="F9"/>
      <c r="G9"/>
      <c r="H9" s="9" t="s">
        <v>87</v>
      </c>
      <c r="I9" s="9"/>
      <c r="J9" s="9" t="s">
        <v>166</v>
      </c>
      <c r="K9" s="9"/>
      <c r="M9" s="9" t="s">
        <v>87</v>
      </c>
      <c r="N9" s="9"/>
      <c r="O9" s="9" t="s">
        <v>166</v>
      </c>
      <c r="P9" s="9"/>
      <c r="R9" s="9" t="s">
        <v>87</v>
      </c>
      <c r="S9" s="9"/>
      <c r="T9" s="9" t="s">
        <v>166</v>
      </c>
      <c r="U9" s="9"/>
    </row>
    <row r="10" spans="2:21" s="20" customFormat="1" ht="13.8" x14ac:dyDescent="0.25">
      <c r="B10" s="175" t="s">
        <v>165</v>
      </c>
      <c r="C10" s="175" t="s">
        <v>151</v>
      </c>
      <c r="D10" s="175" t="s">
        <v>148</v>
      </c>
      <c r="E10" s="47">
        <f>EBF!J18</f>
        <v>2861.5612011470998</v>
      </c>
      <c r="F10"/>
      <c r="G10"/>
      <c r="H10" s="1" t="s">
        <v>167</v>
      </c>
      <c r="I10" s="1" t="str">
        <f>DemTechs_INDF!Z$6</f>
        <v>MANELC</v>
      </c>
      <c r="J10" s="145" t="s">
        <v>215</v>
      </c>
      <c r="K10" s="185">
        <v>3.3566276423652626E-2</v>
      </c>
      <c r="L10" s="186"/>
      <c r="M10" s="1" t="s">
        <v>167</v>
      </c>
      <c r="N10" s="1" t="str">
        <f>DemTechs_INDF!Z$5</f>
        <v>MANHEAT</v>
      </c>
      <c r="O10" s="145" t="s">
        <v>215</v>
      </c>
      <c r="P10" s="185">
        <v>3.3566276423652626E-2</v>
      </c>
      <c r="R10" s="1" t="s">
        <v>167</v>
      </c>
      <c r="S10" s="1" t="str">
        <f>DemTechs_INDF!Z$8</f>
        <v>CEMENTHEAT</v>
      </c>
      <c r="T10" s="145" t="s">
        <v>215</v>
      </c>
      <c r="U10" s="185">
        <v>3.3566276423652626E-2</v>
      </c>
    </row>
    <row r="11" spans="2:21" s="158" customFormat="1" ht="13.8" x14ac:dyDescent="0.25">
      <c r="B11" s="175" t="s">
        <v>165</v>
      </c>
      <c r="C11" s="175" t="s">
        <v>248</v>
      </c>
      <c r="D11" s="175" t="s">
        <v>148</v>
      </c>
      <c r="E11" s="47">
        <f>EBF!D18</f>
        <v>7676.2275585426005</v>
      </c>
      <c r="F11"/>
      <c r="G11"/>
      <c r="H11" s="1" t="s">
        <v>167</v>
      </c>
      <c r="I11" s="1" t="str">
        <f>DemTechs_INDF!Z$6</f>
        <v>MANELC</v>
      </c>
      <c r="J11" s="176" t="s">
        <v>216</v>
      </c>
      <c r="K11" s="185">
        <v>3.3302706089073604E-2</v>
      </c>
      <c r="L11" s="187"/>
      <c r="M11" s="1" t="s">
        <v>167</v>
      </c>
      <c r="N11" s="1" t="str">
        <f>DemTechs_INDF!Z$5</f>
        <v>MANHEAT</v>
      </c>
      <c r="O11" s="176" t="s">
        <v>216</v>
      </c>
      <c r="P11" s="185">
        <v>3.3302706089073604E-2</v>
      </c>
      <c r="R11" s="1" t="s">
        <v>167</v>
      </c>
      <c r="S11" s="1" t="str">
        <f>DemTechs_INDF!Z$8</f>
        <v>CEMENTHEAT</v>
      </c>
      <c r="T11" s="176" t="s">
        <v>216</v>
      </c>
      <c r="U11" s="185">
        <v>3.3302706089073604E-2</v>
      </c>
    </row>
    <row r="12" spans="2:21" x14ac:dyDescent="0.25">
      <c r="B12" s="135"/>
      <c r="C12" s="135"/>
      <c r="D12" s="135"/>
      <c r="E12" s="135"/>
      <c r="H12" s="1" t="s">
        <v>167</v>
      </c>
      <c r="I12" s="1" t="str">
        <f>DemTechs_INDF!Z$6</f>
        <v>MANELC</v>
      </c>
      <c r="J12" s="145" t="s">
        <v>217</v>
      </c>
      <c r="K12" s="185">
        <v>3.3481814338032219E-2</v>
      </c>
      <c r="L12" s="184"/>
      <c r="M12" s="1" t="s">
        <v>167</v>
      </c>
      <c r="N12" s="1" t="str">
        <f>DemTechs_INDF!Z$5</f>
        <v>MANHEAT</v>
      </c>
      <c r="O12" s="145" t="s">
        <v>217</v>
      </c>
      <c r="P12" s="185">
        <v>3.3481814338032219E-2</v>
      </c>
      <c r="R12" s="1" t="s">
        <v>167</v>
      </c>
      <c r="S12" s="1" t="str">
        <f>DemTechs_INDF!Z$8</f>
        <v>CEMENTHEAT</v>
      </c>
      <c r="T12" s="145" t="s">
        <v>217</v>
      </c>
      <c r="U12" s="185">
        <v>3.3481814338032219E-2</v>
      </c>
    </row>
    <row r="13" spans="2:21" x14ac:dyDescent="0.25">
      <c r="H13" s="1" t="s">
        <v>167</v>
      </c>
      <c r="I13" s="1" t="str">
        <f>DemTechs_INDF!Z$6</f>
        <v>MANELC</v>
      </c>
      <c r="J13" s="176" t="s">
        <v>218</v>
      </c>
      <c r="K13" s="185">
        <v>3.3611381763990082E-2</v>
      </c>
      <c r="L13" s="184"/>
      <c r="M13" s="1" t="s">
        <v>167</v>
      </c>
      <c r="N13" s="1" t="str">
        <f>DemTechs_INDF!Z$5</f>
        <v>MANHEAT</v>
      </c>
      <c r="O13" s="176" t="s">
        <v>218</v>
      </c>
      <c r="P13" s="185">
        <v>3.3611381763990082E-2</v>
      </c>
      <c r="R13" s="1" t="s">
        <v>167</v>
      </c>
      <c r="S13" s="1" t="str">
        <f>DemTechs_INDF!Z$8</f>
        <v>CEMENTHEAT</v>
      </c>
      <c r="T13" s="176" t="s">
        <v>218</v>
      </c>
      <c r="U13" s="185">
        <v>3.3611381763990082E-2</v>
      </c>
    </row>
    <row r="14" spans="2:21" x14ac:dyDescent="0.25">
      <c r="H14" s="1" t="s">
        <v>167</v>
      </c>
      <c r="I14" s="1" t="str">
        <f>DemTechs_INDF!Z$6</f>
        <v>MANELC</v>
      </c>
      <c r="J14" s="145" t="s">
        <v>219</v>
      </c>
      <c r="K14" s="185">
        <v>3.4004820718610197E-2</v>
      </c>
      <c r="L14" s="184"/>
      <c r="M14" s="1" t="s">
        <v>167</v>
      </c>
      <c r="N14" s="1" t="str">
        <f>DemTechs_INDF!Z$5</f>
        <v>MANHEAT</v>
      </c>
      <c r="O14" s="145" t="s">
        <v>219</v>
      </c>
      <c r="P14" s="185">
        <v>3.4004820718610197E-2</v>
      </c>
      <c r="R14" s="1" t="s">
        <v>167</v>
      </c>
      <c r="S14" s="1" t="str">
        <f>DemTechs_INDF!Z$8</f>
        <v>CEMENTHEAT</v>
      </c>
      <c r="T14" s="145" t="s">
        <v>219</v>
      </c>
      <c r="U14" s="185">
        <v>3.4004820718610197E-2</v>
      </c>
    </row>
    <row r="15" spans="2:21" x14ac:dyDescent="0.25">
      <c r="H15" s="1" t="s">
        <v>167</v>
      </c>
      <c r="I15" s="1" t="str">
        <f>DemTechs_INDF!Z$6</f>
        <v>MANELC</v>
      </c>
      <c r="J15" s="176" t="s">
        <v>220</v>
      </c>
      <c r="K15" s="185">
        <v>3.4081384083392653E-2</v>
      </c>
      <c r="L15" s="184"/>
      <c r="M15" s="1" t="s">
        <v>167</v>
      </c>
      <c r="N15" s="1" t="str">
        <f>DemTechs_INDF!Z$5</f>
        <v>MANHEAT</v>
      </c>
      <c r="O15" s="176" t="s">
        <v>220</v>
      </c>
      <c r="P15" s="185">
        <v>3.4081384083392653E-2</v>
      </c>
      <c r="R15" s="1" t="s">
        <v>167</v>
      </c>
      <c r="S15" s="1" t="str">
        <f>DemTechs_INDF!Z$8</f>
        <v>CEMENTHEAT</v>
      </c>
      <c r="T15" s="176" t="s">
        <v>220</v>
      </c>
      <c r="U15" s="185">
        <v>3.4081384083392653E-2</v>
      </c>
    </row>
    <row r="16" spans="2:21" x14ac:dyDescent="0.25">
      <c r="H16" s="1" t="s">
        <v>167</v>
      </c>
      <c r="I16" s="1" t="str">
        <f>DemTechs_INDF!Z$6</f>
        <v>MANELC</v>
      </c>
      <c r="J16" s="145" t="s">
        <v>221</v>
      </c>
      <c r="K16" s="185">
        <v>3.3156795624830704E-2</v>
      </c>
      <c r="L16" s="184"/>
      <c r="M16" s="1" t="s">
        <v>167</v>
      </c>
      <c r="N16" s="1" t="str">
        <f>DemTechs_INDF!Z$5</f>
        <v>MANHEAT</v>
      </c>
      <c r="O16" s="145" t="s">
        <v>221</v>
      </c>
      <c r="P16" s="185">
        <v>3.3156795624830704E-2</v>
      </c>
      <c r="R16" s="1" t="s">
        <v>167</v>
      </c>
      <c r="S16" s="1" t="str">
        <f>DemTechs_INDF!Z$8</f>
        <v>CEMENTHEAT</v>
      </c>
      <c r="T16" s="145" t="s">
        <v>221</v>
      </c>
      <c r="U16" s="185">
        <v>3.3156795624830704E-2</v>
      </c>
    </row>
    <row r="17" spans="4:21" x14ac:dyDescent="0.25">
      <c r="H17" t="s">
        <v>167</v>
      </c>
      <c r="I17" t="str">
        <f>DemTechs_INDF!Z$6</f>
        <v>MANELC</v>
      </c>
      <c r="J17" t="s">
        <v>222</v>
      </c>
      <c r="K17" s="185">
        <v>3.6518070997817571E-2</v>
      </c>
      <c r="L17" s="184"/>
      <c r="M17" t="s">
        <v>167</v>
      </c>
      <c r="N17" s="1" t="str">
        <f>DemTechs_INDF!Z$5</f>
        <v>MANHEAT</v>
      </c>
      <c r="O17" t="s">
        <v>222</v>
      </c>
      <c r="P17" s="185">
        <v>3.6518070997817571E-2</v>
      </c>
      <c r="R17" t="s">
        <v>167</v>
      </c>
      <c r="S17" s="1" t="str">
        <f>DemTechs_INDF!Z$8</f>
        <v>CEMENTHEAT</v>
      </c>
      <c r="T17" t="s">
        <v>222</v>
      </c>
      <c r="U17" s="185">
        <v>3.6518070997817571E-2</v>
      </c>
    </row>
    <row r="18" spans="4:21" x14ac:dyDescent="0.25">
      <c r="H18" s="1" t="s">
        <v>167</v>
      </c>
      <c r="I18" s="1" t="str">
        <f>DemTechs_INDF!Z$6</f>
        <v>MANELC</v>
      </c>
      <c r="J18" s="145" t="s">
        <v>223</v>
      </c>
      <c r="K18" s="185">
        <v>4.7257353018906531E-2</v>
      </c>
      <c r="L18" s="184"/>
      <c r="M18" s="1" t="s">
        <v>167</v>
      </c>
      <c r="N18" s="1" t="str">
        <f>DemTechs_INDF!Z$5</f>
        <v>MANHEAT</v>
      </c>
      <c r="O18" s="145" t="s">
        <v>223</v>
      </c>
      <c r="P18" s="185">
        <v>4.7257353018906531E-2</v>
      </c>
      <c r="R18" s="1" t="s">
        <v>167</v>
      </c>
      <c r="S18" s="1" t="str">
        <f>DemTechs_INDF!Z$8</f>
        <v>CEMENTHEAT</v>
      </c>
      <c r="T18" s="145" t="s">
        <v>223</v>
      </c>
      <c r="U18" s="185">
        <v>4.7257353018906531E-2</v>
      </c>
    </row>
    <row r="19" spans="4:21" x14ac:dyDescent="0.25">
      <c r="H19" t="s">
        <v>167</v>
      </c>
      <c r="I19" t="str">
        <f>DemTechs_INDF!Z$6</f>
        <v>MANELC</v>
      </c>
      <c r="J19" t="s">
        <v>224</v>
      </c>
      <c r="K19" s="185">
        <v>5.6756578785819259E-2</v>
      </c>
      <c r="L19" s="184"/>
      <c r="M19" t="s">
        <v>167</v>
      </c>
      <c r="N19" s="1" t="str">
        <f>DemTechs_INDF!Z$5</f>
        <v>MANHEAT</v>
      </c>
      <c r="O19" t="s">
        <v>224</v>
      </c>
      <c r="P19" s="185">
        <v>5.6756578785819259E-2</v>
      </c>
      <c r="R19" t="s">
        <v>167</v>
      </c>
      <c r="S19" s="1" t="str">
        <f>DemTechs_INDF!Z$8</f>
        <v>CEMENTHEAT</v>
      </c>
      <c r="T19" t="s">
        <v>224</v>
      </c>
      <c r="U19" s="185">
        <v>5.6756578785819259E-2</v>
      </c>
    </row>
    <row r="20" spans="4:21" x14ac:dyDescent="0.25">
      <c r="H20" t="s">
        <v>167</v>
      </c>
      <c r="I20" t="str">
        <f>DemTechs_INDF!Z$6</f>
        <v>MANELC</v>
      </c>
      <c r="J20" t="s">
        <v>225</v>
      </c>
      <c r="K20" s="185">
        <v>5.5715023853427123E-2</v>
      </c>
      <c r="L20" s="184"/>
      <c r="M20" t="s">
        <v>167</v>
      </c>
      <c r="N20" s="1" t="str">
        <f>DemTechs_INDF!Z$5</f>
        <v>MANHEAT</v>
      </c>
      <c r="O20" t="s">
        <v>225</v>
      </c>
      <c r="P20" s="185">
        <v>5.5715023853427123E-2</v>
      </c>
      <c r="R20" t="s">
        <v>167</v>
      </c>
      <c r="S20" s="1" t="str">
        <f>DemTechs_INDF!Z$8</f>
        <v>CEMENTHEAT</v>
      </c>
      <c r="T20" t="s">
        <v>225</v>
      </c>
      <c r="U20" s="185">
        <v>5.5715023853427123E-2</v>
      </c>
    </row>
    <row r="21" spans="4:21" x14ac:dyDescent="0.25">
      <c r="H21" t="s">
        <v>167</v>
      </c>
      <c r="I21" t="str">
        <f>DemTechs_INDF!Z$6</f>
        <v>MANELC</v>
      </c>
      <c r="J21" t="s">
        <v>226</v>
      </c>
      <c r="K21" s="185">
        <v>5.6345483069498978E-2</v>
      </c>
      <c r="L21" s="184"/>
      <c r="M21" t="s">
        <v>167</v>
      </c>
      <c r="N21" s="1" t="str">
        <f>DemTechs_INDF!Z$5</f>
        <v>MANHEAT</v>
      </c>
      <c r="O21" t="s">
        <v>226</v>
      </c>
      <c r="P21" s="185">
        <v>5.6345483069498978E-2</v>
      </c>
      <c r="R21" t="s">
        <v>167</v>
      </c>
      <c r="S21" s="1" t="str">
        <f>DemTechs_INDF!Z$8</f>
        <v>CEMENTHEAT</v>
      </c>
      <c r="T21" t="s">
        <v>226</v>
      </c>
      <c r="U21" s="185">
        <v>5.6345483069498978E-2</v>
      </c>
    </row>
    <row r="22" spans="4:21" x14ac:dyDescent="0.25">
      <c r="H22" t="s">
        <v>167</v>
      </c>
      <c r="I22" t="str">
        <f>DemTechs_INDF!Z$6</f>
        <v>MANELC</v>
      </c>
      <c r="J22" t="s">
        <v>227</v>
      </c>
      <c r="K22" s="185">
        <v>4.8662133827205516E-2</v>
      </c>
      <c r="L22" s="184"/>
      <c r="M22" t="s">
        <v>167</v>
      </c>
      <c r="N22" s="1" t="str">
        <f>DemTechs_INDF!Z$5</f>
        <v>MANHEAT</v>
      </c>
      <c r="O22" t="s">
        <v>227</v>
      </c>
      <c r="P22" s="185">
        <v>4.8662133827205516E-2</v>
      </c>
      <c r="R22" t="s">
        <v>167</v>
      </c>
      <c r="S22" s="1" t="str">
        <f>DemTechs_INDF!Z$8</f>
        <v>CEMENTHEAT</v>
      </c>
      <c r="T22" t="s">
        <v>227</v>
      </c>
      <c r="U22" s="185">
        <v>4.8662133827205516E-2</v>
      </c>
    </row>
    <row r="23" spans="4:21" x14ac:dyDescent="0.25">
      <c r="H23" t="s">
        <v>167</v>
      </c>
      <c r="I23" t="str">
        <f>DemTechs_INDF!Z$6</f>
        <v>MANELC</v>
      </c>
      <c r="J23" t="s">
        <v>228</v>
      </c>
      <c r="K23" s="185">
        <v>5.0293526586567008E-2</v>
      </c>
      <c r="L23" s="184"/>
      <c r="M23" t="s">
        <v>167</v>
      </c>
      <c r="N23" s="1" t="str">
        <f>DemTechs_INDF!Z$5</f>
        <v>MANHEAT</v>
      </c>
      <c r="O23" t="s">
        <v>228</v>
      </c>
      <c r="P23" s="185">
        <v>5.0293526586567008E-2</v>
      </c>
      <c r="R23" t="s">
        <v>167</v>
      </c>
      <c r="S23" s="1" t="str">
        <f>DemTechs_INDF!Z$8</f>
        <v>CEMENTHEAT</v>
      </c>
      <c r="T23" t="s">
        <v>228</v>
      </c>
      <c r="U23" s="185">
        <v>5.0293526586567008E-2</v>
      </c>
    </row>
    <row r="24" spans="4:21" x14ac:dyDescent="0.25">
      <c r="H24" t="s">
        <v>167</v>
      </c>
      <c r="I24" t="str">
        <f>DemTechs_INDF!Z$6</f>
        <v>MANELC</v>
      </c>
      <c r="J24" t="s">
        <v>229</v>
      </c>
      <c r="K24" s="185">
        <v>5.2523087098903048E-2</v>
      </c>
      <c r="L24" s="184"/>
      <c r="M24" t="s">
        <v>167</v>
      </c>
      <c r="N24" s="1" t="str">
        <f>DemTechs_INDF!Z$5</f>
        <v>MANHEAT</v>
      </c>
      <c r="O24" t="s">
        <v>229</v>
      </c>
      <c r="P24" s="185">
        <v>5.2523087098903048E-2</v>
      </c>
      <c r="R24" t="s">
        <v>167</v>
      </c>
      <c r="S24" s="1" t="str">
        <f>DemTechs_INDF!Z$8</f>
        <v>CEMENTHEAT</v>
      </c>
      <c r="T24" t="s">
        <v>229</v>
      </c>
      <c r="U24" s="185">
        <v>5.2523087098903048E-2</v>
      </c>
    </row>
    <row r="25" spans="4:21" x14ac:dyDescent="0.25">
      <c r="H25" t="s">
        <v>167</v>
      </c>
      <c r="I25" t="str">
        <f>DemTechs_INDF!Z$6</f>
        <v>MANELC</v>
      </c>
      <c r="J25" t="s">
        <v>230</v>
      </c>
      <c r="K25" s="185">
        <v>5.4966761848993004E-2</v>
      </c>
      <c r="L25" s="184"/>
      <c r="M25" t="s">
        <v>167</v>
      </c>
      <c r="N25" s="1" t="str">
        <f>DemTechs_INDF!Z$5</f>
        <v>MANHEAT</v>
      </c>
      <c r="O25" t="s">
        <v>230</v>
      </c>
      <c r="P25" s="185">
        <v>5.4966761848993004E-2</v>
      </c>
      <c r="R25" t="s">
        <v>167</v>
      </c>
      <c r="S25" s="1" t="str">
        <f>DemTechs_INDF!Z$8</f>
        <v>CEMENTHEAT</v>
      </c>
      <c r="T25" t="s">
        <v>230</v>
      </c>
      <c r="U25" s="185">
        <v>5.4966761848993004E-2</v>
      </c>
    </row>
    <row r="26" spans="4:21" x14ac:dyDescent="0.25">
      <c r="D26" s="109"/>
      <c r="H26" t="s">
        <v>167</v>
      </c>
      <c r="I26" t="str">
        <f>DemTechs_INDF!Z$6</f>
        <v>MANELC</v>
      </c>
      <c r="J26" t="s">
        <v>231</v>
      </c>
      <c r="K26" s="185">
        <v>5.3016988893511453E-2</v>
      </c>
      <c r="L26" s="184"/>
      <c r="M26" t="s">
        <v>167</v>
      </c>
      <c r="N26" s="1" t="str">
        <f>DemTechs_INDF!Z$5</f>
        <v>MANHEAT</v>
      </c>
      <c r="O26" t="s">
        <v>231</v>
      </c>
      <c r="P26" s="185">
        <v>5.3016988893511453E-2</v>
      </c>
      <c r="R26" t="s">
        <v>167</v>
      </c>
      <c r="S26" s="1" t="str">
        <f>DemTechs_INDF!Z$8</f>
        <v>CEMENTHEAT</v>
      </c>
      <c r="T26" t="s">
        <v>231</v>
      </c>
      <c r="U26" s="185">
        <v>5.3016988893511453E-2</v>
      </c>
    </row>
    <row r="27" spans="4:21" x14ac:dyDescent="0.25">
      <c r="D27" s="109"/>
      <c r="E27" s="5"/>
      <c r="H27" t="s">
        <v>167</v>
      </c>
      <c r="I27" t="str">
        <f>DemTechs_INDF!Z$6</f>
        <v>MANELC</v>
      </c>
      <c r="J27" t="s">
        <v>232</v>
      </c>
      <c r="K27" s="185">
        <v>4.4273060594597062E-2</v>
      </c>
      <c r="L27" s="184"/>
      <c r="M27" t="s">
        <v>167</v>
      </c>
      <c r="N27" s="1" t="str">
        <f>DemTechs_INDF!Z$5</f>
        <v>MANHEAT</v>
      </c>
      <c r="O27" t="s">
        <v>232</v>
      </c>
      <c r="P27" s="185">
        <v>4.4273060594597062E-2</v>
      </c>
      <c r="R27" t="s">
        <v>167</v>
      </c>
      <c r="S27" s="1" t="str">
        <f>DemTechs_INDF!Z$8</f>
        <v>CEMENTHEAT</v>
      </c>
      <c r="T27" t="s">
        <v>232</v>
      </c>
      <c r="U27" s="185">
        <v>4.4273060594597062E-2</v>
      </c>
    </row>
    <row r="28" spans="4:21" x14ac:dyDescent="0.25">
      <c r="D28" s="109"/>
      <c r="E28" s="109"/>
      <c r="F28" s="109"/>
      <c r="H28" t="s">
        <v>167</v>
      </c>
      <c r="I28" t="str">
        <f>DemTechs_INDF!Z$6</f>
        <v>MANELC</v>
      </c>
      <c r="J28" t="s">
        <v>233</v>
      </c>
      <c r="K28" s="185">
        <v>3.6258449498494133E-2</v>
      </c>
      <c r="L28" s="184"/>
      <c r="M28" t="s">
        <v>167</v>
      </c>
      <c r="N28" s="1" t="str">
        <f>DemTechs_INDF!Z$5</f>
        <v>MANHEAT</v>
      </c>
      <c r="O28" t="s">
        <v>233</v>
      </c>
      <c r="P28" s="185">
        <v>3.6258449498494133E-2</v>
      </c>
      <c r="R28" t="s">
        <v>167</v>
      </c>
      <c r="S28" s="1" t="str">
        <f>DemTechs_INDF!Z$8</f>
        <v>CEMENTHEAT</v>
      </c>
      <c r="T28" t="s">
        <v>233</v>
      </c>
      <c r="U28" s="185">
        <v>3.6258449498494133E-2</v>
      </c>
    </row>
    <row r="29" spans="4:21" x14ac:dyDescent="0.25">
      <c r="D29" s="109"/>
      <c r="E29" s="109"/>
      <c r="F29" s="109"/>
      <c r="H29" t="s">
        <v>167</v>
      </c>
      <c r="I29" t="str">
        <f>DemTechs_INDF!Z$6</f>
        <v>MANELC</v>
      </c>
      <c r="J29" t="s">
        <v>234</v>
      </c>
      <c r="K29" s="185">
        <v>3.6040655779430726E-2</v>
      </c>
      <c r="L29" s="184"/>
      <c r="M29" t="s">
        <v>167</v>
      </c>
      <c r="N29" s="1" t="str">
        <f>DemTechs_INDF!Z$5</f>
        <v>MANHEAT</v>
      </c>
      <c r="O29" t="s">
        <v>234</v>
      </c>
      <c r="P29" s="185">
        <v>3.6040655779430726E-2</v>
      </c>
      <c r="R29" t="s">
        <v>167</v>
      </c>
      <c r="S29" s="1" t="str">
        <f>DemTechs_INDF!Z$8</f>
        <v>CEMENTHEAT</v>
      </c>
      <c r="T29" t="s">
        <v>234</v>
      </c>
      <c r="U29" s="185">
        <v>3.6040655779430726E-2</v>
      </c>
    </row>
    <row r="30" spans="4:21" x14ac:dyDescent="0.25">
      <c r="H30" s="1" t="s">
        <v>167</v>
      </c>
      <c r="I30" s="1" t="str">
        <f>DemTechs_INDF!Z$6</f>
        <v>MANELC</v>
      </c>
      <c r="J30" s="145" t="s">
        <v>235</v>
      </c>
      <c r="K30" s="185">
        <v>3.5097781406108856E-2</v>
      </c>
      <c r="L30" s="184"/>
      <c r="M30" s="1" t="s">
        <v>167</v>
      </c>
      <c r="N30" s="1" t="str">
        <f>DemTechs_INDF!Z$5</f>
        <v>MANHEAT</v>
      </c>
      <c r="O30" s="145" t="s">
        <v>235</v>
      </c>
      <c r="P30" s="185">
        <v>3.5097781406108856E-2</v>
      </c>
      <c r="R30" s="1" t="s">
        <v>167</v>
      </c>
      <c r="S30" s="1" t="str">
        <f>DemTechs_INDF!Z$8</f>
        <v>CEMENTHEAT</v>
      </c>
      <c r="T30" s="145" t="s">
        <v>235</v>
      </c>
      <c r="U30" s="185">
        <v>3.5097781406108856E-2</v>
      </c>
    </row>
    <row r="31" spans="4:21" x14ac:dyDescent="0.25">
      <c r="H31" s="1" t="s">
        <v>167</v>
      </c>
      <c r="I31" s="1" t="str">
        <f>DemTechs_INDF!Z$6</f>
        <v>MANELC</v>
      </c>
      <c r="J31" s="176" t="s">
        <v>236</v>
      </c>
      <c r="K31" s="185">
        <v>3.482493578674286E-2</v>
      </c>
      <c r="L31" s="184"/>
      <c r="M31" s="1" t="s">
        <v>167</v>
      </c>
      <c r="N31" s="1" t="str">
        <f>DemTechs_INDF!Z$5</f>
        <v>MANHEAT</v>
      </c>
      <c r="O31" s="176" t="s">
        <v>236</v>
      </c>
      <c r="P31" s="185">
        <v>3.482493578674286E-2</v>
      </c>
      <c r="R31" s="1" t="s">
        <v>167</v>
      </c>
      <c r="S31" s="1" t="str">
        <f>DemTechs_INDF!Z$8</f>
        <v>CEMENTHEAT</v>
      </c>
      <c r="T31" s="176" t="s">
        <v>236</v>
      </c>
      <c r="U31" s="185">
        <v>3.482493578674286E-2</v>
      </c>
    </row>
    <row r="32" spans="4:21" x14ac:dyDescent="0.25">
      <c r="E32" s="5"/>
      <c r="H32" s="1" t="s">
        <v>167</v>
      </c>
      <c r="I32" s="1" t="str">
        <f>DemTechs_INDF!Z$6</f>
        <v>MANELC</v>
      </c>
      <c r="J32" s="145" t="s">
        <v>237</v>
      </c>
      <c r="K32" s="185">
        <v>3.2564766705734945E-2</v>
      </c>
      <c r="L32" s="184"/>
      <c r="M32" s="1" t="s">
        <v>167</v>
      </c>
      <c r="N32" s="1" t="str">
        <f>DemTechs_INDF!Z$5</f>
        <v>MANHEAT</v>
      </c>
      <c r="O32" s="145" t="s">
        <v>237</v>
      </c>
      <c r="P32" s="185">
        <v>3.2564766705734945E-2</v>
      </c>
      <c r="R32" s="1" t="s">
        <v>167</v>
      </c>
      <c r="S32" s="1" t="str">
        <f>DemTechs_INDF!Z$8</f>
        <v>CEMENTHEAT</v>
      </c>
      <c r="T32" s="145" t="s">
        <v>237</v>
      </c>
      <c r="U32" s="185">
        <v>3.2564766705734945E-2</v>
      </c>
    </row>
    <row r="33" spans="2:21" x14ac:dyDescent="0.25">
      <c r="B33" s="1"/>
      <c r="E33" s="5"/>
      <c r="H33" s="1" t="s">
        <v>167</v>
      </c>
      <c r="I33" s="1" t="str">
        <f>DemTechs_INDF!Z$6</f>
        <v>MANELC</v>
      </c>
      <c r="J33" s="176" t="s">
        <v>238</v>
      </c>
      <c r="K33" s="185">
        <v>3.3680163206659841E-2</v>
      </c>
      <c r="L33" s="184"/>
      <c r="M33" s="1" t="s">
        <v>167</v>
      </c>
      <c r="N33" s="1" t="str">
        <f>DemTechs_INDF!Z$5</f>
        <v>MANHEAT</v>
      </c>
      <c r="O33" s="176" t="s">
        <v>238</v>
      </c>
      <c r="P33" s="185">
        <v>3.3680163206659841E-2</v>
      </c>
      <c r="R33" s="1" t="s">
        <v>167</v>
      </c>
      <c r="S33" s="1" t="str">
        <f>DemTechs_INDF!Z$8</f>
        <v>CEMENTHEAT</v>
      </c>
      <c r="T33" s="176" t="s">
        <v>238</v>
      </c>
      <c r="U33" s="185">
        <v>3.3680163206659841E-2</v>
      </c>
    </row>
    <row r="34" spans="2:21" x14ac:dyDescent="0.25">
      <c r="B34" s="1"/>
      <c r="H34" s="1" t="s">
        <v>167</v>
      </c>
      <c r="I34" s="1" t="str">
        <f>DemTechs_INDF!Z$6</f>
        <v>MANELC</v>
      </c>
      <c r="J34" t="s">
        <v>168</v>
      </c>
      <c r="K34" s="185">
        <v>3.0835149280259575E-2</v>
      </c>
      <c r="M34" s="1" t="s">
        <v>167</v>
      </c>
      <c r="N34" s="1" t="str">
        <f>DemTechs_INDF!Z$5</f>
        <v>MANHEAT</v>
      </c>
      <c r="O34" t="s">
        <v>168</v>
      </c>
      <c r="P34" s="185">
        <v>3.0835149280259575E-2</v>
      </c>
      <c r="R34" s="1" t="s">
        <v>167</v>
      </c>
      <c r="S34" s="1" t="str">
        <f>DemTechs_INDF!Z$8</f>
        <v>CEMENTHEAT</v>
      </c>
      <c r="T34" t="s">
        <v>168</v>
      </c>
      <c r="U34" s="185">
        <v>3.0835149280259575E-2</v>
      </c>
    </row>
    <row r="35" spans="2:21" x14ac:dyDescent="0.25">
      <c r="H35" s="1" t="s">
        <v>167</v>
      </c>
      <c r="I35" s="1" t="str">
        <f>DemTechs_INDF!Z$6</f>
        <v>MANELC</v>
      </c>
      <c r="J35" t="s">
        <v>169</v>
      </c>
      <c r="K35" s="185">
        <v>3.1306102192535441E-2</v>
      </c>
      <c r="M35" s="1" t="s">
        <v>167</v>
      </c>
      <c r="N35" s="1" t="str">
        <f>DemTechs_INDF!Z$5</f>
        <v>MANHEAT</v>
      </c>
      <c r="O35" t="s">
        <v>169</v>
      </c>
      <c r="P35" s="185">
        <v>3.1306102192535441E-2</v>
      </c>
      <c r="R35" s="1" t="s">
        <v>167</v>
      </c>
      <c r="S35" s="1" t="str">
        <f>DemTechs_INDF!Z$8</f>
        <v>CEMENTHEAT</v>
      </c>
      <c r="T35" t="s">
        <v>169</v>
      </c>
      <c r="U35" s="185">
        <v>3.1306102192535441E-2</v>
      </c>
    </row>
    <row r="36" spans="2:21" x14ac:dyDescent="0.25">
      <c r="B36" s="118"/>
      <c r="C36" s="1" t="s">
        <v>97</v>
      </c>
      <c r="H36" s="1" t="s">
        <v>167</v>
      </c>
      <c r="I36" s="1" t="str">
        <f>DemTechs_INDF!Z$6</f>
        <v>MANELC</v>
      </c>
      <c r="J36" t="s">
        <v>170</v>
      </c>
      <c r="K36" s="185">
        <v>3.0732055812390149E-2</v>
      </c>
      <c r="M36" s="1" t="s">
        <v>167</v>
      </c>
      <c r="N36" s="1" t="str">
        <f>DemTechs_INDF!Z$5</f>
        <v>MANHEAT</v>
      </c>
      <c r="O36" t="s">
        <v>170</v>
      </c>
      <c r="P36" s="185">
        <v>3.0732055812390149E-2</v>
      </c>
      <c r="R36" s="1" t="s">
        <v>167</v>
      </c>
      <c r="S36" s="1" t="str">
        <f>DemTechs_INDF!Z$8</f>
        <v>CEMENTHEAT</v>
      </c>
      <c r="T36" t="s">
        <v>170</v>
      </c>
      <c r="U36" s="185">
        <v>3.0732055812390149E-2</v>
      </c>
    </row>
    <row r="37" spans="2:21" x14ac:dyDescent="0.25">
      <c r="B37" s="47"/>
      <c r="C37" s="1" t="s">
        <v>98</v>
      </c>
      <c r="H37" s="1" t="s">
        <v>167</v>
      </c>
      <c r="I37" s="1" t="str">
        <f>DemTechs_INDF!Z$6</f>
        <v>MANELC</v>
      </c>
      <c r="J37" t="s">
        <v>171</v>
      </c>
      <c r="K37" s="185">
        <v>3.1026498894933252E-2</v>
      </c>
      <c r="M37" s="1" t="s">
        <v>167</v>
      </c>
      <c r="N37" s="1" t="str">
        <f>DemTechs_INDF!Z$5</f>
        <v>MANHEAT</v>
      </c>
      <c r="O37" t="s">
        <v>171</v>
      </c>
      <c r="P37" s="185">
        <v>3.1026498894933252E-2</v>
      </c>
      <c r="R37" s="1" t="s">
        <v>167</v>
      </c>
      <c r="S37" s="1" t="str">
        <f>DemTechs_INDF!Z$8</f>
        <v>CEMENTHEAT</v>
      </c>
      <c r="T37" t="s">
        <v>171</v>
      </c>
      <c r="U37" s="185">
        <v>3.1026498894933252E-2</v>
      </c>
    </row>
    <row r="38" spans="2:21" x14ac:dyDescent="0.25">
      <c r="H38" s="1" t="s">
        <v>167</v>
      </c>
      <c r="I38" s="1" t="str">
        <f>DemTechs_INDF!Z$6</f>
        <v>MANELC</v>
      </c>
      <c r="J38" t="s">
        <v>172</v>
      </c>
      <c r="K38" s="185">
        <v>3.1056840848101456E-2</v>
      </c>
      <c r="M38" s="1" t="s">
        <v>167</v>
      </c>
      <c r="N38" s="1" t="str">
        <f>DemTechs_INDF!Z$5</f>
        <v>MANHEAT</v>
      </c>
      <c r="O38" t="s">
        <v>172</v>
      </c>
      <c r="P38" s="185">
        <v>3.1056840848101456E-2</v>
      </c>
      <c r="R38" s="1" t="s">
        <v>167</v>
      </c>
      <c r="S38" s="1" t="str">
        <f>DemTechs_INDF!Z$8</f>
        <v>CEMENTHEAT</v>
      </c>
      <c r="T38" t="s">
        <v>172</v>
      </c>
      <c r="U38" s="185">
        <v>3.1056840848101456E-2</v>
      </c>
    </row>
    <row r="39" spans="2:21" x14ac:dyDescent="0.25">
      <c r="H39" s="1" t="s">
        <v>167</v>
      </c>
      <c r="I39" s="1" t="str">
        <f>DemTechs_INDF!Z$6</f>
        <v>MANELC</v>
      </c>
      <c r="J39" t="s">
        <v>173</v>
      </c>
      <c r="K39" s="185">
        <v>3.1761574865503496E-2</v>
      </c>
      <c r="M39" s="1" t="s">
        <v>167</v>
      </c>
      <c r="N39" s="1" t="str">
        <f>DemTechs_INDF!Z$5</f>
        <v>MANHEAT</v>
      </c>
      <c r="O39" t="s">
        <v>173</v>
      </c>
      <c r="P39" s="185">
        <v>3.1761574865503496E-2</v>
      </c>
      <c r="R39" s="1" t="s">
        <v>167</v>
      </c>
      <c r="S39" s="1" t="str">
        <f>DemTechs_INDF!Z$8</f>
        <v>CEMENTHEAT</v>
      </c>
      <c r="T39" t="s">
        <v>173</v>
      </c>
      <c r="U39" s="185">
        <v>3.1761574865503496E-2</v>
      </c>
    </row>
    <row r="40" spans="2:21" x14ac:dyDescent="0.25">
      <c r="H40" s="1" t="s">
        <v>167</v>
      </c>
      <c r="I40" s="1" t="str">
        <f>DemTechs_INDF!Z$6</f>
        <v>MANELC</v>
      </c>
      <c r="J40" t="s">
        <v>174</v>
      </c>
      <c r="K40" s="185">
        <v>3.2141299558210122E-2</v>
      </c>
      <c r="M40" s="1" t="s">
        <v>167</v>
      </c>
      <c r="N40" s="1" t="str">
        <f>DemTechs_INDF!Z$5</f>
        <v>MANHEAT</v>
      </c>
      <c r="O40" t="s">
        <v>174</v>
      </c>
      <c r="P40" s="185">
        <v>3.2141299558210122E-2</v>
      </c>
      <c r="R40" s="1" t="s">
        <v>167</v>
      </c>
      <c r="S40" s="1" t="str">
        <f>DemTechs_INDF!Z$8</f>
        <v>CEMENTHEAT</v>
      </c>
      <c r="T40" t="s">
        <v>174</v>
      </c>
      <c r="U40" s="185">
        <v>3.2141299558210122E-2</v>
      </c>
    </row>
    <row r="41" spans="2:21" x14ac:dyDescent="0.25">
      <c r="H41" s="1" t="s">
        <v>167</v>
      </c>
      <c r="I41" s="1" t="str">
        <f>DemTechs_INDF!Z$6</f>
        <v>MANELC</v>
      </c>
      <c r="J41" t="s">
        <v>175</v>
      </c>
      <c r="K41" s="185">
        <v>3.5213642686520726E-2</v>
      </c>
      <c r="M41" s="1" t="s">
        <v>167</v>
      </c>
      <c r="N41" s="1" t="str">
        <f>DemTechs_INDF!Z$5</f>
        <v>MANHEAT</v>
      </c>
      <c r="O41" t="s">
        <v>175</v>
      </c>
      <c r="P41" s="185">
        <v>3.5213642686520726E-2</v>
      </c>
      <c r="R41" s="1" t="s">
        <v>167</v>
      </c>
      <c r="S41" s="1" t="str">
        <f>DemTechs_INDF!Z$8</f>
        <v>CEMENTHEAT</v>
      </c>
      <c r="T41" t="s">
        <v>175</v>
      </c>
      <c r="U41" s="185">
        <v>3.5213642686520726E-2</v>
      </c>
    </row>
    <row r="42" spans="2:21" x14ac:dyDescent="0.25">
      <c r="H42" s="1" t="s">
        <v>167</v>
      </c>
      <c r="I42" s="1" t="str">
        <f>DemTechs_INDF!Z$6</f>
        <v>MANELC</v>
      </c>
      <c r="J42" t="s">
        <v>176</v>
      </c>
      <c r="K42" s="185">
        <v>5.1117433203485711E-2</v>
      </c>
      <c r="M42" s="1" t="s">
        <v>167</v>
      </c>
      <c r="N42" s="1" t="str">
        <f>DemTechs_INDF!Z$5</f>
        <v>MANHEAT</v>
      </c>
      <c r="O42" t="s">
        <v>176</v>
      </c>
      <c r="P42" s="185">
        <v>5.1117433203485711E-2</v>
      </c>
      <c r="R42" s="1" t="s">
        <v>167</v>
      </c>
      <c r="S42" s="1" t="str">
        <f>DemTechs_INDF!Z$8</f>
        <v>CEMENTHEAT</v>
      </c>
      <c r="T42" t="s">
        <v>176</v>
      </c>
      <c r="U42" s="185">
        <v>5.1117433203485711E-2</v>
      </c>
    </row>
    <row r="43" spans="2:21" x14ac:dyDescent="0.25">
      <c r="H43" s="1" t="s">
        <v>167</v>
      </c>
      <c r="I43" s="1" t="str">
        <f>DemTechs_INDF!Z$6</f>
        <v>MANELC</v>
      </c>
      <c r="J43" t="s">
        <v>177</v>
      </c>
      <c r="K43" s="185">
        <v>6.2773677380098022E-2</v>
      </c>
      <c r="M43" s="1" t="s">
        <v>167</v>
      </c>
      <c r="N43" s="1" t="str">
        <f>DemTechs_INDF!Z$5</f>
        <v>MANHEAT</v>
      </c>
      <c r="O43" t="s">
        <v>177</v>
      </c>
      <c r="P43" s="185">
        <v>6.2773677380098022E-2</v>
      </c>
      <c r="R43" s="1" t="s">
        <v>167</v>
      </c>
      <c r="S43" s="1" t="str">
        <f>DemTechs_INDF!Z$8</f>
        <v>CEMENTHEAT</v>
      </c>
      <c r="T43" t="s">
        <v>177</v>
      </c>
      <c r="U43" s="185">
        <v>6.2773677380098022E-2</v>
      </c>
    </row>
    <row r="44" spans="2:21" x14ac:dyDescent="0.25">
      <c r="H44" s="1" t="s">
        <v>167</v>
      </c>
      <c r="I44" s="1" t="str">
        <f>DemTechs_INDF!Z$6</f>
        <v>MANELC</v>
      </c>
      <c r="J44" t="s">
        <v>178</v>
      </c>
      <c r="K44" s="185">
        <v>6.1766758236552227E-2</v>
      </c>
      <c r="M44" s="1" t="s">
        <v>167</v>
      </c>
      <c r="N44" s="1" t="str">
        <f>DemTechs_INDF!Z$5</f>
        <v>MANHEAT</v>
      </c>
      <c r="O44" t="s">
        <v>178</v>
      </c>
      <c r="P44" s="185">
        <v>6.1766758236552227E-2</v>
      </c>
      <c r="R44" s="1" t="s">
        <v>167</v>
      </c>
      <c r="S44" s="1" t="str">
        <f>DemTechs_INDF!Z$8</f>
        <v>CEMENTHEAT</v>
      </c>
      <c r="T44" t="s">
        <v>178</v>
      </c>
      <c r="U44" s="185">
        <v>6.1766758236552227E-2</v>
      </c>
    </row>
    <row r="45" spans="2:21" x14ac:dyDescent="0.25">
      <c r="H45" s="1" t="s">
        <v>167</v>
      </c>
      <c r="I45" s="1" t="str">
        <f>DemTechs_INDF!Z$6</f>
        <v>MANELC</v>
      </c>
      <c r="J45" t="s">
        <v>179</v>
      </c>
      <c r="K45" s="185">
        <v>6.4177423190962854E-2</v>
      </c>
      <c r="M45" s="1" t="s">
        <v>167</v>
      </c>
      <c r="N45" s="1" t="str">
        <f>DemTechs_INDF!Z$5</f>
        <v>MANHEAT</v>
      </c>
      <c r="O45" t="s">
        <v>179</v>
      </c>
      <c r="P45" s="185">
        <v>6.4177423190962854E-2</v>
      </c>
      <c r="R45" s="1" t="s">
        <v>167</v>
      </c>
      <c r="S45" s="1" t="str">
        <f>DemTechs_INDF!Z$8</f>
        <v>CEMENTHEAT</v>
      </c>
      <c r="T45" t="s">
        <v>179</v>
      </c>
      <c r="U45" s="185">
        <v>6.4177423190962854E-2</v>
      </c>
    </row>
    <row r="46" spans="2:21" x14ac:dyDescent="0.25">
      <c r="H46" s="1" t="s">
        <v>167</v>
      </c>
      <c r="I46" s="1" t="str">
        <f>DemTechs_INDF!Z$6</f>
        <v>MANELC</v>
      </c>
      <c r="J46" t="s">
        <v>180</v>
      </c>
      <c r="K46" s="185">
        <v>5.0829723942040425E-2</v>
      </c>
      <c r="M46" s="1" t="s">
        <v>167</v>
      </c>
      <c r="N46" s="1" t="str">
        <f>DemTechs_INDF!Z$5</f>
        <v>MANHEAT</v>
      </c>
      <c r="O46" t="s">
        <v>180</v>
      </c>
      <c r="P46" s="185">
        <v>5.0829723942040425E-2</v>
      </c>
      <c r="R46" s="1" t="s">
        <v>167</v>
      </c>
      <c r="S46" s="1" t="str">
        <f>DemTechs_INDF!Z$8</f>
        <v>CEMENTHEAT</v>
      </c>
      <c r="T46" t="s">
        <v>180</v>
      </c>
      <c r="U46" s="185">
        <v>5.0829723942040425E-2</v>
      </c>
    </row>
    <row r="47" spans="2:21" x14ac:dyDescent="0.25">
      <c r="H47" s="1" t="s">
        <v>167</v>
      </c>
      <c r="I47" s="1" t="str">
        <f>DemTechs_INDF!Z$6</f>
        <v>MANELC</v>
      </c>
      <c r="J47" t="s">
        <v>181</v>
      </c>
      <c r="K47" s="185">
        <v>5.4268458827148723E-2</v>
      </c>
      <c r="M47" s="1" t="s">
        <v>167</v>
      </c>
      <c r="N47" s="1" t="str">
        <f>DemTechs_INDF!Z$5</f>
        <v>MANHEAT</v>
      </c>
      <c r="O47" t="s">
        <v>181</v>
      </c>
      <c r="P47" s="185">
        <v>5.4268458827148723E-2</v>
      </c>
      <c r="R47" s="1" t="s">
        <v>167</v>
      </c>
      <c r="S47" s="1" t="str">
        <f>DemTechs_INDF!Z$8</f>
        <v>CEMENTHEAT</v>
      </c>
      <c r="T47" t="s">
        <v>181</v>
      </c>
      <c r="U47" s="185">
        <v>5.4268458827148723E-2</v>
      </c>
    </row>
    <row r="48" spans="2:21" x14ac:dyDescent="0.25">
      <c r="H48" s="1" t="s">
        <v>167</v>
      </c>
      <c r="I48" s="1" t="str">
        <f>DemTechs_INDF!Z$6</f>
        <v>MANELC</v>
      </c>
      <c r="J48" t="s">
        <v>182</v>
      </c>
      <c r="K48" s="185">
        <v>5.9589636409466136E-2</v>
      </c>
      <c r="M48" s="1" t="s">
        <v>167</v>
      </c>
      <c r="N48" s="1" t="str">
        <f>DemTechs_INDF!Z$5</f>
        <v>MANHEAT</v>
      </c>
      <c r="O48" t="s">
        <v>182</v>
      </c>
      <c r="P48" s="185">
        <v>5.9589636409466136E-2</v>
      </c>
      <c r="R48" s="1" t="s">
        <v>167</v>
      </c>
      <c r="S48" s="1" t="str">
        <f>DemTechs_INDF!Z$8</f>
        <v>CEMENTHEAT</v>
      </c>
      <c r="T48" t="s">
        <v>182</v>
      </c>
      <c r="U48" s="185">
        <v>5.9589636409466136E-2</v>
      </c>
    </row>
    <row r="49" spans="8:21" x14ac:dyDescent="0.25">
      <c r="H49" s="1" t="s">
        <v>167</v>
      </c>
      <c r="I49" s="1" t="str">
        <f>DemTechs_INDF!Z$6</f>
        <v>MANELC</v>
      </c>
      <c r="J49" t="s">
        <v>183</v>
      </c>
      <c r="K49" s="185">
        <v>5.9904363990350699E-2</v>
      </c>
      <c r="M49" s="1" t="s">
        <v>167</v>
      </c>
      <c r="N49" s="1" t="str">
        <f>DemTechs_INDF!Z$5</f>
        <v>MANHEAT</v>
      </c>
      <c r="O49" t="s">
        <v>183</v>
      </c>
      <c r="P49" s="185">
        <v>5.9904363990350699E-2</v>
      </c>
      <c r="R49" s="1" t="s">
        <v>167</v>
      </c>
      <c r="S49" s="1" t="str">
        <f>DemTechs_INDF!Z$8</f>
        <v>CEMENTHEAT</v>
      </c>
      <c r="T49" t="s">
        <v>183</v>
      </c>
      <c r="U49" s="185">
        <v>5.9904363990350699E-2</v>
      </c>
    </row>
    <row r="50" spans="8:21" x14ac:dyDescent="0.25">
      <c r="H50" s="1" t="s">
        <v>167</v>
      </c>
      <c r="I50" s="1" t="str">
        <f>DemTechs_INDF!Z$6</f>
        <v>MANELC</v>
      </c>
      <c r="J50" t="s">
        <v>184</v>
      </c>
      <c r="K50" s="185">
        <v>5.4602121019645386E-2</v>
      </c>
      <c r="M50" s="1" t="s">
        <v>167</v>
      </c>
      <c r="N50" s="1" t="str">
        <f>DemTechs_INDF!Z$5</f>
        <v>MANHEAT</v>
      </c>
      <c r="O50" t="s">
        <v>184</v>
      </c>
      <c r="P50" s="185">
        <v>5.4602121019645386E-2</v>
      </c>
      <c r="R50" s="1" t="s">
        <v>167</v>
      </c>
      <c r="S50" s="1" t="str">
        <f>DemTechs_INDF!Z$8</f>
        <v>CEMENTHEAT</v>
      </c>
      <c r="T50" t="s">
        <v>184</v>
      </c>
      <c r="U50" s="185">
        <v>5.4602121019645386E-2</v>
      </c>
    </row>
    <row r="51" spans="8:21" x14ac:dyDescent="0.25">
      <c r="H51" s="1" t="s">
        <v>167</v>
      </c>
      <c r="I51" s="1" t="str">
        <f>DemTechs_INDF!Z$6</f>
        <v>MANELC</v>
      </c>
      <c r="J51" t="s">
        <v>185</v>
      </c>
      <c r="K51" s="185">
        <v>4.095098396869809E-2</v>
      </c>
      <c r="M51" s="1" t="s">
        <v>167</v>
      </c>
      <c r="N51" s="1" t="str">
        <f>DemTechs_INDF!Z$5</f>
        <v>MANHEAT</v>
      </c>
      <c r="O51" t="s">
        <v>185</v>
      </c>
      <c r="P51" s="185">
        <v>4.095098396869809E-2</v>
      </c>
      <c r="R51" s="1" t="s">
        <v>167</v>
      </c>
      <c r="S51" s="1" t="str">
        <f>DemTechs_INDF!Z$8</f>
        <v>CEMENTHEAT</v>
      </c>
      <c r="T51" t="s">
        <v>185</v>
      </c>
      <c r="U51" s="185">
        <v>4.095098396869809E-2</v>
      </c>
    </row>
    <row r="52" spans="8:21" x14ac:dyDescent="0.25">
      <c r="H52" s="1" t="s">
        <v>167</v>
      </c>
      <c r="I52" s="1" t="str">
        <f>DemTechs_INDF!Z$6</f>
        <v>MANELC</v>
      </c>
      <c r="J52" t="s">
        <v>186</v>
      </c>
      <c r="K52" s="185">
        <v>3.2728922255458537E-2</v>
      </c>
      <c r="M52" s="1" t="s">
        <v>167</v>
      </c>
      <c r="N52" s="1" t="str">
        <f>DemTechs_INDF!Z$5</f>
        <v>MANHEAT</v>
      </c>
      <c r="O52" t="s">
        <v>186</v>
      </c>
      <c r="P52" s="185">
        <v>3.2728922255458537E-2</v>
      </c>
      <c r="R52" s="1" t="s">
        <v>167</v>
      </c>
      <c r="S52" s="1" t="str">
        <f>DemTechs_INDF!Z$8</f>
        <v>CEMENTHEAT</v>
      </c>
      <c r="T52" t="s">
        <v>186</v>
      </c>
      <c r="U52" s="185">
        <v>3.2728922255458537E-2</v>
      </c>
    </row>
    <row r="53" spans="8:21" x14ac:dyDescent="0.25">
      <c r="H53" s="1" t="s">
        <v>167</v>
      </c>
      <c r="I53" s="1" t="str">
        <f>DemTechs_INDF!Z$6</f>
        <v>MANELC</v>
      </c>
      <c r="J53" t="s">
        <v>187</v>
      </c>
      <c r="K53" s="185">
        <v>3.1731181617130018E-2</v>
      </c>
      <c r="M53" s="1" t="s">
        <v>167</v>
      </c>
      <c r="N53" s="1" t="str">
        <f>DemTechs_INDF!Z$5</f>
        <v>MANHEAT</v>
      </c>
      <c r="O53" t="s">
        <v>187</v>
      </c>
      <c r="P53" s="185">
        <v>3.1731181617130018E-2</v>
      </c>
      <c r="R53" s="1" t="s">
        <v>167</v>
      </c>
      <c r="S53" s="1" t="str">
        <f>DemTechs_INDF!Z$8</f>
        <v>CEMENTHEAT</v>
      </c>
      <c r="T53" t="s">
        <v>187</v>
      </c>
      <c r="U53" s="185">
        <v>3.1731181617130018E-2</v>
      </c>
    </row>
    <row r="54" spans="8:21" x14ac:dyDescent="0.25">
      <c r="H54" s="1" t="s">
        <v>167</v>
      </c>
      <c r="I54" s="1" t="str">
        <f>DemTechs_INDF!Z$6</f>
        <v>MANELC</v>
      </c>
      <c r="J54" t="s">
        <v>188</v>
      </c>
      <c r="K54" s="185">
        <v>3.0924439128636003E-2</v>
      </c>
      <c r="M54" s="1" t="s">
        <v>167</v>
      </c>
      <c r="N54" s="1" t="str">
        <f>DemTechs_INDF!Z$5</f>
        <v>MANHEAT</v>
      </c>
      <c r="O54" t="s">
        <v>188</v>
      </c>
      <c r="P54" s="185">
        <v>3.0924439128636003E-2</v>
      </c>
      <c r="R54" s="1" t="s">
        <v>167</v>
      </c>
      <c r="S54" s="1" t="str">
        <f>DemTechs_INDF!Z$8</f>
        <v>CEMENTHEAT</v>
      </c>
      <c r="T54" t="s">
        <v>188</v>
      </c>
      <c r="U54" s="185">
        <v>3.0924439128636003E-2</v>
      </c>
    </row>
    <row r="55" spans="8:21" x14ac:dyDescent="0.25">
      <c r="H55" s="1" t="s">
        <v>167</v>
      </c>
      <c r="I55" s="1" t="str">
        <f>DemTechs_INDF!Z$6</f>
        <v>MANELC</v>
      </c>
      <c r="J55" t="s">
        <v>189</v>
      </c>
      <c r="K55" s="185">
        <v>3.0529213441903326E-2</v>
      </c>
      <c r="M55" s="1" t="s">
        <v>167</v>
      </c>
      <c r="N55" s="1" t="str">
        <f>DemTechs_INDF!Z$5</f>
        <v>MANHEAT</v>
      </c>
      <c r="O55" t="s">
        <v>189</v>
      </c>
      <c r="P55" s="185">
        <v>3.0529213441903326E-2</v>
      </c>
      <c r="R55" s="1" t="s">
        <v>167</v>
      </c>
      <c r="S55" s="1" t="str">
        <f>DemTechs_INDF!Z$8</f>
        <v>CEMENTHEAT</v>
      </c>
      <c r="T55" t="s">
        <v>189</v>
      </c>
      <c r="U55" s="185">
        <v>3.0529213441903326E-2</v>
      </c>
    </row>
    <row r="56" spans="8:21" x14ac:dyDescent="0.25">
      <c r="H56" s="1" t="s">
        <v>167</v>
      </c>
      <c r="I56" s="1" t="str">
        <f>DemTechs_INDF!Z$6</f>
        <v>MANELC</v>
      </c>
      <c r="J56" t="s">
        <v>190</v>
      </c>
      <c r="K56" s="185">
        <v>2.9792391830107463E-2</v>
      </c>
      <c r="M56" s="1" t="s">
        <v>167</v>
      </c>
      <c r="N56" s="1" t="str">
        <f>DemTechs_INDF!Z$5</f>
        <v>MANHEAT</v>
      </c>
      <c r="O56" t="s">
        <v>190</v>
      </c>
      <c r="P56" s="185">
        <v>2.9792391830107463E-2</v>
      </c>
      <c r="R56" s="1" t="s">
        <v>167</v>
      </c>
      <c r="S56" s="1" t="str">
        <f>DemTechs_INDF!Z$8</f>
        <v>CEMENTHEAT</v>
      </c>
      <c r="T56" t="s">
        <v>190</v>
      </c>
      <c r="U56" s="185">
        <v>2.9792391830107463E-2</v>
      </c>
    </row>
    <row r="57" spans="8:21" x14ac:dyDescent="0.25">
      <c r="H57" s="1" t="s">
        <v>167</v>
      </c>
      <c r="I57" s="1" t="str">
        <f>DemTechs_INDF!Z$6</f>
        <v>MANELC</v>
      </c>
      <c r="J57" t="s">
        <v>191</v>
      </c>
      <c r="K57" s="185">
        <v>3.0240107419862172E-2</v>
      </c>
      <c r="M57" s="1" t="s">
        <v>167</v>
      </c>
      <c r="N57" s="1" t="str">
        <f>DemTechs_INDF!Z$5</f>
        <v>MANHEAT</v>
      </c>
      <c r="O57" t="s">
        <v>191</v>
      </c>
      <c r="P57" s="185">
        <v>3.0240107419862172E-2</v>
      </c>
      <c r="R57" s="1" t="s">
        <v>167</v>
      </c>
      <c r="S57" s="1" t="str">
        <f>DemTechs_INDF!Z$8</f>
        <v>CEMENTHEAT</v>
      </c>
      <c r="T57" t="s">
        <v>191</v>
      </c>
      <c r="U57" s="185">
        <v>3.0240107419862172E-2</v>
      </c>
    </row>
    <row r="58" spans="8:21" x14ac:dyDescent="0.25">
      <c r="H58" s="1"/>
      <c r="I58" s="137"/>
      <c r="J58" s="137"/>
      <c r="K58" s="181"/>
    </row>
    <row r="59" spans="8:21" x14ac:dyDescent="0.25">
      <c r="K59" s="137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59CB-7164-414F-B6F7-22B95D131062}">
  <dimension ref="B3:I25"/>
  <sheetViews>
    <sheetView topLeftCell="A8" workbookViewId="0">
      <selection activeCell="J16" sqref="J16"/>
    </sheetView>
  </sheetViews>
  <sheetFormatPr defaultRowHeight="13.2" x14ac:dyDescent="0.25"/>
  <cols>
    <col min="2" max="2" width="14.44140625" customWidth="1"/>
    <col min="3" max="3" width="9.5546875" bestFit="1" customWidth="1"/>
    <col min="4" max="4" width="13.33203125" bestFit="1" customWidth="1"/>
    <col min="5" max="5" width="9.5546875" bestFit="1" customWidth="1"/>
  </cols>
  <sheetData>
    <row r="3" spans="2:9" ht="17.399999999999999" customHeight="1" x14ac:dyDescent="0.3">
      <c r="B3" s="122" t="s">
        <v>194</v>
      </c>
      <c r="C3" s="122"/>
      <c r="D3" s="122"/>
      <c r="E3" s="122"/>
      <c r="F3" s="122"/>
      <c r="G3" s="122"/>
      <c r="H3" s="122"/>
    </row>
    <row r="4" spans="2:9" ht="17.399999999999999" customHeight="1" x14ac:dyDescent="0.3">
      <c r="B4" s="123"/>
      <c r="C4" s="123"/>
      <c r="D4" s="123"/>
      <c r="E4" s="123"/>
      <c r="F4" s="123"/>
      <c r="G4" s="123"/>
    </row>
    <row r="5" spans="2:9" ht="17.399999999999999" x14ac:dyDescent="0.3">
      <c r="B5" s="124" t="s">
        <v>195</v>
      </c>
      <c r="C5" s="125"/>
    </row>
    <row r="6" spans="2:9" ht="13.8" thickBot="1" x14ac:dyDescent="0.3">
      <c r="B6" s="126" t="s">
        <v>0</v>
      </c>
      <c r="C6" s="126" t="str">
        <f>PRI_Sector_Fuels!O5</f>
        <v>MANCOALMIN</v>
      </c>
      <c r="D6" s="126" t="str">
        <f>PRI_Sector_Fuels!O6</f>
        <v>MANCOALIMP</v>
      </c>
      <c r="E6" s="126" t="str">
        <f>PRI_Sector_Fuels!O7</f>
        <v>MANOILIMP</v>
      </c>
      <c r="F6" s="126" t="str">
        <f>PRI_Sector_Fuels!O8</f>
        <v>GRIDELC</v>
      </c>
      <c r="G6" s="126"/>
      <c r="H6" s="126"/>
      <c r="I6" s="1"/>
    </row>
    <row r="7" spans="2:9" ht="13.8" thickBot="1" x14ac:dyDescent="0.3">
      <c r="B7" s="127" t="s">
        <v>87</v>
      </c>
      <c r="C7" s="127" t="s">
        <v>196</v>
      </c>
      <c r="D7" s="127" t="s">
        <v>196</v>
      </c>
      <c r="E7" s="127" t="s">
        <v>196</v>
      </c>
      <c r="F7" s="127" t="s">
        <v>196</v>
      </c>
      <c r="G7" s="127"/>
      <c r="H7" s="127"/>
      <c r="I7" s="1"/>
    </row>
    <row r="8" spans="2:9" x14ac:dyDescent="0.25">
      <c r="B8" s="177"/>
      <c r="C8" s="177"/>
      <c r="D8" s="177"/>
      <c r="E8" s="177"/>
      <c r="F8" s="177"/>
      <c r="G8" s="177"/>
      <c r="H8" s="177"/>
      <c r="I8" s="1"/>
    </row>
    <row r="9" spans="2:9" x14ac:dyDescent="0.25">
      <c r="B9" s="128" t="str">
        <f>DemTechs_INDF!Z7</f>
        <v>MANCO2</v>
      </c>
      <c r="C9" s="129">
        <v>0.34100000000000003</v>
      </c>
      <c r="D9" s="129">
        <v>0.34100000000000003</v>
      </c>
      <c r="E9" s="129">
        <v>0.25900000000000001</v>
      </c>
      <c r="F9" s="129">
        <v>0</v>
      </c>
      <c r="G9" s="129"/>
      <c r="H9" s="129"/>
      <c r="I9" s="1"/>
    </row>
    <row r="24" spans="2:3" x14ac:dyDescent="0.25">
      <c r="B24" s="118"/>
      <c r="C24" s="1" t="s">
        <v>97</v>
      </c>
    </row>
    <row r="25" spans="2:3" x14ac:dyDescent="0.25">
      <c r="B25" s="47"/>
      <c r="C25" s="1" t="s">
        <v>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EBF TJ</vt:lpstr>
      <vt:lpstr>EBF</vt:lpstr>
      <vt:lpstr>PRI_Sector_Fuels</vt:lpstr>
      <vt:lpstr>DemTechs_INDF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cp:lastPrinted>2004-11-16T14:57:57Z</cp:lastPrinted>
  <dcterms:created xsi:type="dcterms:W3CDTF">2000-12-13T15:53:11Z</dcterms:created>
  <dcterms:modified xsi:type="dcterms:W3CDTF">2026-03-13T08:40:42Z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632569849491119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2025-09-17T12:26:11Z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0da2c098-5e40-4ca4-98d0-94ecf3bb983a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