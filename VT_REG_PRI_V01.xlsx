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"/>
    </mc:Choice>
  </mc:AlternateContent>
  <xr:revisionPtr revIDLastSave="0" documentId="13_ncr:1_{B28BA271-3D19-4331-A475-9666B28DBF36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" i="145" l="1"/>
  <c r="Z12" i="145"/>
  <c r="Z13" i="145"/>
  <c r="Z14" i="145"/>
  <c r="Z15" i="145"/>
  <c r="Z16" i="145"/>
  <c r="Z17" i="145"/>
  <c r="Z18" i="145"/>
  <c r="Z19" i="145"/>
  <c r="Z20" i="145"/>
  <c r="Z21" i="145"/>
  <c r="Z22" i="145"/>
  <c r="Z23" i="145"/>
  <c r="Z24" i="145"/>
  <c r="Z25" i="145"/>
  <c r="Z26" i="145"/>
  <c r="Z27" i="145"/>
  <c r="Z28" i="145"/>
  <c r="Z29" i="145"/>
  <c r="Z30" i="145"/>
  <c r="Z31" i="145"/>
  <c r="Z32" i="145"/>
  <c r="Z33" i="145"/>
  <c r="Z34" i="145"/>
  <c r="Z35" i="145"/>
  <c r="Z36" i="145"/>
  <c r="Z37" i="145"/>
  <c r="Z38" i="145"/>
  <c r="Z39" i="145"/>
  <c r="Z40" i="145"/>
  <c r="Z41" i="145"/>
  <c r="Z42" i="145"/>
  <c r="Z43" i="145"/>
  <c r="Z44" i="145"/>
  <c r="Z45" i="145"/>
  <c r="Z46" i="145"/>
  <c r="Z47" i="145"/>
  <c r="Z48" i="145"/>
  <c r="Z49" i="145"/>
  <c r="Z50" i="145"/>
  <c r="Z51" i="145"/>
  <c r="Z52" i="145"/>
  <c r="Z53" i="145"/>
  <c r="Z54" i="145"/>
  <c r="Z55" i="145"/>
  <c r="Z56" i="145"/>
  <c r="Z57" i="145"/>
  <c r="Z10" i="145"/>
  <c r="U11" i="145"/>
  <c r="U12" i="145"/>
  <c r="U13" i="145"/>
  <c r="U14" i="145"/>
  <c r="U15" i="145"/>
  <c r="U16" i="145"/>
  <c r="U17" i="145"/>
  <c r="U18" i="145"/>
  <c r="U19" i="145"/>
  <c r="U20" i="145"/>
  <c r="U21" i="145"/>
  <c r="U22" i="145"/>
  <c r="U23" i="145"/>
  <c r="U24" i="145"/>
  <c r="U25" i="145"/>
  <c r="U26" i="145"/>
  <c r="U27" i="145"/>
  <c r="U28" i="145"/>
  <c r="U29" i="145"/>
  <c r="U30" i="145"/>
  <c r="U31" i="145"/>
  <c r="U32" i="145"/>
  <c r="U33" i="145"/>
  <c r="U34" i="145"/>
  <c r="U35" i="145"/>
  <c r="U36" i="145"/>
  <c r="U37" i="145"/>
  <c r="U38" i="145"/>
  <c r="U39" i="145"/>
  <c r="U40" i="145"/>
  <c r="U41" i="145"/>
  <c r="U42" i="145"/>
  <c r="U43" i="145"/>
  <c r="U44" i="145"/>
  <c r="U45" i="145"/>
  <c r="U46" i="145"/>
  <c r="U47" i="145"/>
  <c r="U48" i="145"/>
  <c r="U49" i="145"/>
  <c r="U50" i="145"/>
  <c r="U51" i="145"/>
  <c r="U52" i="145"/>
  <c r="U53" i="145"/>
  <c r="U54" i="145"/>
  <c r="U55" i="145"/>
  <c r="U56" i="145"/>
  <c r="U57" i="145"/>
  <c r="U10" i="145"/>
  <c r="P22" i="145"/>
  <c r="P23" i="145"/>
  <c r="P24" i="145"/>
  <c r="P25" i="145"/>
  <c r="P26" i="145"/>
  <c r="P27" i="145"/>
  <c r="P28" i="145"/>
  <c r="P29" i="145"/>
  <c r="E10" i="145"/>
  <c r="E9" i="145"/>
  <c r="E11" i="145"/>
  <c r="L47" i="133"/>
  <c r="L48" i="133"/>
  <c r="L46" i="133"/>
  <c r="E17" i="145" l="1"/>
  <c r="H17" i="145" s="1"/>
  <c r="H10" i="145" s="1"/>
  <c r="G17" i="145"/>
  <c r="H11" i="145" l="1"/>
  <c r="J17" i="145"/>
  <c r="J11" i="145" s="1"/>
  <c r="F17" i="145"/>
  <c r="F11" i="145" s="1"/>
  <c r="K17" i="145"/>
  <c r="K11" i="145" s="1"/>
  <c r="I17" i="145"/>
  <c r="I11" i="145" s="1"/>
  <c r="H9" i="145"/>
  <c r="G11" i="145"/>
  <c r="G10" i="145"/>
  <c r="G9" i="145"/>
  <c r="K9" i="145" l="1"/>
  <c r="K10" i="145"/>
  <c r="J9" i="145"/>
  <c r="J10" i="145"/>
  <c r="I9" i="145"/>
  <c r="I10" i="145"/>
  <c r="F10" i="145"/>
  <c r="F9" i="145"/>
  <c r="D46" i="143" l="1"/>
  <c r="D45" i="143"/>
  <c r="D20" i="143"/>
  <c r="H55" i="133"/>
  <c r="H63" i="133" s="1"/>
  <c r="G55" i="133"/>
  <c r="G63" i="133" s="1"/>
  <c r="F55" i="133"/>
  <c r="F63" i="133" s="1"/>
  <c r="G54" i="133"/>
  <c r="G62" i="133" s="1"/>
  <c r="G52" i="133"/>
  <c r="G56" i="133" s="1"/>
  <c r="G53" i="133"/>
  <c r="F54" i="133"/>
  <c r="F62" i="133" s="1"/>
  <c r="F52" i="133"/>
  <c r="F56" i="133" s="1"/>
  <c r="F64" i="133" s="1"/>
  <c r="F53" i="133"/>
  <c r="H54" i="133"/>
  <c r="H62" i="133" s="1"/>
  <c r="H52" i="133"/>
  <c r="H56" i="133" s="1"/>
  <c r="H53" i="133"/>
  <c r="E55" i="133"/>
  <c r="E63" i="133" s="1"/>
  <c r="E54" i="133"/>
  <c r="E62" i="133" s="1"/>
  <c r="E52" i="133"/>
  <c r="E53" i="133"/>
  <c r="E56" i="133"/>
  <c r="E64" i="133" s="1"/>
  <c r="D55" i="133"/>
  <c r="D63" i="133" s="1"/>
  <c r="D54" i="133"/>
  <c r="D62" i="133" s="1"/>
  <c r="D52" i="133"/>
  <c r="D56" i="133" s="1"/>
  <c r="D53" i="133"/>
  <c r="E18" i="133"/>
  <c r="D5" i="133"/>
  <c r="D6" i="133"/>
  <c r="J18" i="133"/>
  <c r="D22" i="143"/>
  <c r="C46" i="143"/>
  <c r="B46" i="143"/>
  <c r="C45" i="143"/>
  <c r="B45" i="143"/>
  <c r="B23" i="143"/>
  <c r="E2" i="145"/>
  <c r="D21" i="143"/>
  <c r="D23" i="137"/>
  <c r="D24" i="137"/>
  <c r="D25" i="137"/>
  <c r="E40" i="133"/>
  <c r="D18" i="133"/>
  <c r="D39" i="133"/>
  <c r="D38" i="133"/>
  <c r="G61" i="133"/>
  <c r="E61" i="133"/>
  <c r="F61" i="133"/>
  <c r="H61" i="133"/>
  <c r="D61" i="133"/>
  <c r="D23" i="143"/>
  <c r="C23" i="143"/>
  <c r="O26" i="137"/>
  <c r="B26" i="137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G4" i="137"/>
  <c r="G3" i="137"/>
  <c r="C20" i="143"/>
  <c r="C22" i="143"/>
  <c r="D46" i="133"/>
  <c r="K46" i="13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Y7" i="143"/>
  <c r="B9" i="146"/>
  <c r="D40" i="133"/>
  <c r="E47" i="133"/>
  <c r="K47" i="133"/>
  <c r="D25" i="144"/>
  <c r="K17" i="144"/>
  <c r="K25" i="144"/>
  <c r="K5" i="144"/>
  <c r="K8" i="144"/>
  <c r="AA20" i="143"/>
  <c r="P42" i="145"/>
  <c r="P12" i="145"/>
  <c r="P11" i="145"/>
  <c r="P45" i="145"/>
  <c r="P14" i="145"/>
  <c r="P46" i="145"/>
  <c r="P35" i="145"/>
  <c r="P20" i="145"/>
  <c r="P37" i="145"/>
  <c r="P39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G57" i="133" l="1"/>
  <c r="G64" i="133"/>
  <c r="H64" i="133"/>
  <c r="H57" i="133"/>
  <c r="D57" i="133"/>
  <c r="D64" i="133"/>
  <c r="E57" i="133"/>
  <c r="F57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<sst xmlns="http://schemas.openxmlformats.org/spreadsheetml/2006/main" count="787" uniqueCount="276">
  <si>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</si>
  <si>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</si>
  <si>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</si>
  <si>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</si>
  <si>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</si>
  <si>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</si>
  <si>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</si>
  <si>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</si>
  <si>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</si>
  <si>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</si>
  <si>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</si>
  <si>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</si>
  <si>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</si>
  <si>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</si>
  <si>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</si>
  <si>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</si>
  <si>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</si>
  <si>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</si>
  <si>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</si>
  <si>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</si>
  <si>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</si>
  <si>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</si>
  <si>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</si>
  <si>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</si>
  <si>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</si>
  <si>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</si>
  <si>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</si>
  <si>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</si>
  <si>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</si>
  <si>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</si>
  <si>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</si>
  <si>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</si>
  <si>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</si>
  <si>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</si>
  <si>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</si>
  <si>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</si>
  <si>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</si>
  <si>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</si>
  <si>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</si>
  <si>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</si>
  <si>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</si>
  <si>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</si>
  <si>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</si>
  <si>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</si>
  <si>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</si>
  <si>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</si>
  <si>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</si>
  <si>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</si>
  <si>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</si>
  <si>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</si>
  <si>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</si>
  <si>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</si>
  <si>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</si>
  <si>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</si>
  <si>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</si>
  <si>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</si>
  <si>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</si>
  <si>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</si>
  <si>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</si>
  <si>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</si>
  <si>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</si>
  <si>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</si>
  <si>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</si>
  <si>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</si>
  <si>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</si>
  <si>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</si>
  <si>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</si>
  <si>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</si>
  <si>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</si>
  <si>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</si>
  <si>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</si>
  <si>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</si>
  <si>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</si>
  <si>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</si>
  <si>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</si>
  <si>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</si>
  <si>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</si>
  <si>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</si>
  <si>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</si>
  <si>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</si>
  <si>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</si>
  <si>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</si>
  <si>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</si>
  <si>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</si>
  <si>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</si>
  <si>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</si>
  <si>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</si>
  <si>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</si>
  <si>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</si>
  <si>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</si>
  <si>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</si>
  <si>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</si>
  <si>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</si>
  <si>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</si>
  <si>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</si>
  <si>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</si>
  <si>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</si>
  <si>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</si>
  <si>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</si>
  <si>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</si>
  <si>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</si>
  <si>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</si>
  <si>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</si>
  <si>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</si>
  <si>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</si>
  <si>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</si>
  <si>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</si>
  <si>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</si>
  <si>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</si>
  <si>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</si>
  <si>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</si>
  <si>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</si>
  <si>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</si>
  <si>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</si>
  <si>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</si>
  <si>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>TH$2022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</si>
  <si>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</si>
  <si>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</si>
  <si>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</si>
  <si>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</si>
  <si>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</si>
  <si>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</si>
  <si>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</si>
  <si>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</si>
  <si>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</si>
  <si>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</si>
  <si>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</si>
  <si>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</si>
  <si>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</si>
  <si>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</si>
  <si>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</si>
  <si>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</si>
  <si>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</si>
  <si>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</si>
  <si>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</si>
  <si>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</si>
  <si>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</si>
  <si>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</si>
  <si>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</si>
  <si>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</si>
  <si>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</si>
  <si>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</si>
  <si>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</si>
  <si>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</si>
  <si>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</si>
  <si>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</si>
  <si>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</si>
  <si>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</si>
  <si>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</si>
  <si>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</si>
  <si>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</si>
  <si>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</si>
  <si>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</si>
  <si>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</si>
  <si>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</si>
  <si>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</si>
  <si>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</si>
  <si>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</si>
  <si>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</si>
  <si>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</si>
  <si>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</si>
  <si>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</si>
  <si>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</si>
  <si>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</si>
  <si>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</si>
  <si>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</si>
  <si>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</si>
  <si>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</si>
  <si>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</si>
  <si>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</si>
  <si>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</si>
  <si>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</si>
  <si>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</si>
  <si>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</si>
  <si>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</si>
  <si>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</si>
  <si>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</si>
  <si>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</si>
  <si>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</si>
  <si>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</si>
  <si>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</si>
  <si>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</si>
  <si>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</si>
  <si>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</si>
  <si>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</si>
  <si>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</si>
  <si>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</si>
  <si>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</si>
  <si>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</si>
  <si>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</si>
  <si>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</si>
  <si>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</si>
  <si>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</si>
  <si>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</si>
  <si>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</si>
  <si>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</si>
  <si>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</si>
  <si>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</si>
  <si>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</si>
  <si>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</si>
  <si>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</si>
  <si>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</si>
  <si>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</si>
  <si>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</si>
  <si>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</si>
  <si>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</si>
  <si>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</si>
  <si>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</si>
  <si>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</si>
  <si>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</si>
  <si>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Coal total</t>
  </si>
  <si>
    <t>%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</si>
  <si>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</si>
  <si>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</si>
  <si>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</si>
  <si>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</si>
  <si>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</si>
  <si>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</si>
  <si>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</si>
  <si>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 xml:space="preserve">Fossil Fuel Consumption </t>
  </si>
  <si>
    <t>Historical heat consumption growth</t>
  </si>
  <si>
    <t>Annual</t>
  </si>
  <si>
    <t>NCAP_BND</t>
  </si>
  <si>
    <t>New capacity bound</t>
  </si>
  <si>
    <t>Manufacturing Heat from Oil</t>
  </si>
  <si>
    <t>Manufacturing Heat from Coal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</si>
  <si>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</si>
  <si>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</si>
  <si>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</si>
  <si>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</si>
  <si>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</si>
  <si>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</si>
  <si>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</si>
  <si>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</si>
  <si>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</si>
  <si>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</si>
  <si>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</si>
  <si>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</si>
  <si>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</si>
  <si>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</si>
  <si>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</si>
  <si>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</si>
  <si>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</si>
  <si>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</si>
  <si>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</si>
  <si>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</si>
  <si>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</si>
  <si>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</si>
  <si>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</si>
  <si>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</si>
  <si>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</si>
  <si>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</si>
  <si>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</si>
  <si>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</si>
  <si>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</si>
  <si>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</si>
  <si>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</si>
  <si>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</si>
  <si>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</si>
  <si>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</si>
  <si>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</si>
  <si>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</si>
  <si>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</si>
  <si>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</si>
  <si>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</si>
  <si>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</si>
  <si>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</si>
  <si>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</si>
  <si>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</si>
  <si>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</si>
  <si>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</si>
  <si>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</si>
  <si>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</si>
  <si>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Total energy consumption</t>
  </si>
  <si>
    <t>Normalized share</t>
  </si>
  <si>
    <t>Ggrowth rate 2016-2023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</si>
</sst>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%"/>
    <numFmt numFmtId="169" formatCode="0.000000000"/>
    <numFmt numFmtId="170" formatCode="0.000"/>
    <numFmt numFmtId="171" formatCode="0.00000000000000"/>
  </numFmts>
  <fonts count="4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9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2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</cellStyleXfs>
  <cellXfs count="23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0" fontId="27" fillId="0" borderId="0" xfId="0" applyFont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2" fontId="0" fillId="0" borderId="0" xfId="16" applyNumberFormat="1" applyFont="1"/>
    <xf numFmtId="167" fontId="0" fillId="0" borderId="0" xfId="0" applyNumberFormat="1"/>
    <xf numFmtId="9" fontId="34" fillId="0" borderId="0" xfId="16" applyFont="1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68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35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37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27" fillId="16" borderId="0" xfId="0" applyFont="1" applyFill="1" applyAlignment="1">
      <alignment wrapText="1"/>
    </xf>
    <xf numFmtId="0" fontId="0" fillId="20" borderId="0" xfId="0" applyFill="1"/>
    <xf numFmtId="167" fontId="0" fillId="20" borderId="0" xfId="0" applyNumberFormat="1" applyFill="1"/>
    <xf numFmtId="167" fontId="19" fillId="20" borderId="0" xfId="6" applyNumberFormat="1" applyFill="1"/>
    <xf numFmtId="2" fontId="0" fillId="20" borderId="0" xfId="16" applyNumberFormat="1" applyFont="1" applyFill="1"/>
    <xf numFmtId="9" fontId="34" fillId="20" borderId="0" xfId="16" applyFont="1" applyFill="1"/>
    <xf numFmtId="9" fontId="0" fillId="20" borderId="0" xfId="16" applyFont="1" applyFill="1"/>
    <xf numFmtId="9" fontId="0" fillId="20" borderId="0" xfId="0" applyNumberFormat="1" applyFill="1"/>
    <xf numFmtId="0" fontId="17" fillId="21" borderId="0" xfId="37" applyFill="1"/>
    <xf numFmtId="167" fontId="17" fillId="21" borderId="0" xfId="37" applyNumberFormat="1" applyFill="1"/>
    <xf numFmtId="167" fontId="19" fillId="21" borderId="0" xfId="6" applyNumberFormat="1" applyFill="1"/>
    <xf numFmtId="2" fontId="17" fillId="21" borderId="0" xfId="37" applyNumberFormat="1" applyFill="1"/>
    <xf numFmtId="9" fontId="31" fillId="21" borderId="0" xfId="37" applyNumberFormat="1" applyFont="1" applyFill="1"/>
    <xf numFmtId="9" fontId="17" fillId="21" borderId="0" xfId="37" applyNumberFormat="1" applyFill="1"/>
    <xf numFmtId="9" fontId="0" fillId="21" borderId="0" xfId="16" applyFont="1" applyFill="1"/>
    <xf numFmtId="9" fontId="0" fillId="21" borderId="0" xfId="0" applyNumberFormat="1" applyFill="1"/>
    <xf numFmtId="0" fontId="20" fillId="22" borderId="10" xfId="7" applyFill="1"/>
    <xf numFmtId="167" fontId="20" fillId="22" borderId="10" xfId="7" applyNumberFormat="1" applyFill="1"/>
    <xf numFmtId="167" fontId="19" fillId="22" borderId="10" xfId="6" applyNumberFormat="1" applyFill="1" applyBorder="1"/>
    <xf numFmtId="2" fontId="20" fillId="22" borderId="10" xfId="7" applyNumberFormat="1" applyFill="1"/>
    <xf numFmtId="9" fontId="31" fillId="22" borderId="10" xfId="7" applyNumberFormat="1" applyFont="1" applyFill="1"/>
    <xf numFmtId="9" fontId="20" fillId="22" borderId="10" xfId="7" applyNumberFormat="1" applyFill="1"/>
    <xf numFmtId="9" fontId="0" fillId="22" borderId="0" xfId="16" applyFont="1" applyFill="1"/>
    <xf numFmtId="9" fontId="0" fillId="22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9" fontId="9" fillId="0" borderId="0" xfId="9" applyNumberFormat="1"/>
    <xf numFmtId="9" fontId="9" fillId="15" borderId="0" xfId="16" applyFont="1" applyFill="1"/>
    <xf numFmtId="2" fontId="39" fillId="16" borderId="0" xfId="0" applyNumberFormat="1" applyFont="1" applyFill="1"/>
    <xf numFmtId="2" fontId="29" fillId="13" borderId="0" xfId="0" applyNumberFormat="1" applyFont="1" applyFill="1"/>
    <xf numFmtId="4" fontId="33" fillId="0" borderId="19" xfId="0" applyNumberFormat="1" applyFont="1" applyBorder="1" applyAlignment="1">
      <alignment vertical="center" wrapText="1"/>
    </xf>
    <xf numFmtId="2" fontId="0" fillId="0" borderId="0" xfId="0" applyNumberFormat="1"/>
    <xf numFmtId="167" fontId="9" fillId="15" borderId="0" xfId="8" applyNumberFormat="1" applyFont="1" applyFill="1"/>
    <xf numFmtId="167" fontId="37" fillId="3" borderId="0" xfId="31" applyNumberFormat="1" applyFont="1" applyBorder="1" applyAlignment="1">
      <alignment horizontal="left" wrapText="1"/>
    </xf>
    <xf numFmtId="171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7" fillId="16" borderId="0" xfId="31" applyFont="1" applyFill="1" applyBorder="1" applyAlignment="1">
      <alignment horizontal="left" wrapText="1"/>
    </xf>
    <xf numFmtId="1" fontId="37" fillId="16" borderId="0" xfId="31" applyNumberFormat="1" applyFont="1" applyFill="1" applyBorder="1" applyAlignment="1">
      <alignment horizontal="left" wrapText="1"/>
    </xf>
    <xf numFmtId="0" fontId="35" fillId="16" borderId="0" xfId="31" applyFont="1" applyFill="1" applyBorder="1" applyAlignment="1">
      <alignment horizontal="left" wrapText="1"/>
    </xf>
    <xf numFmtId="9" fontId="36" fillId="16" borderId="0" xfId="0" applyNumberFormat="1" applyFont="1" applyFill="1" applyAlignment="1">
      <alignment wrapText="1"/>
    </xf>
    <xf numFmtId="0" fontId="8" fillId="16" borderId="0" xfId="0" applyFont="1" applyFill="1" applyAlignment="1">
      <alignment vertical="center"/>
    </xf>
    <xf numFmtId="9" fontId="27" fillId="16" borderId="0" xfId="16" applyFont="1" applyFill="1" applyAlignment="1">
      <alignment wrapText="1"/>
    </xf>
    <xf numFmtId="170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168" fontId="0" fillId="13" borderId="0" xfId="16" applyNumberFormat="1" applyFont="1" applyFill="1"/>
    <xf numFmtId="167" fontId="9" fillId="24" borderId="0" xfId="8" applyNumberFormat="1" applyFont="1" applyFill="1"/>
    <xf numFmtId="0" fontId="17" fillId="23" borderId="0" xfId="38"/>
  </cellXfs>
  <cellStyles count="39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1" xfId="37" builtinId="29"/>
    <cellStyle name="Accent2" xfId="3" builtinId="33"/>
    <cellStyle name="Accent3" xfId="38" builtinId="37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118</v>
      </c>
      <c r="G2" s="27" t="s">
        <v>128</v>
      </c>
      <c r="H2" s="27" t="s">
        <v>129</v>
      </c>
      <c r="I2" s="27" t="s">
        <v>120</v>
      </c>
      <c r="J2" s="27" t="s">
        <v>46</v>
      </c>
      <c r="K2" s="20"/>
    </row>
    <row r="3" spans="2:18" x14ac:dyDescent="0.2">
      <c r="C3" s="4"/>
      <c r="D3" s="28" t="s">
        <v>156</v>
      </c>
      <c r="E3" s="28" t="s">
        <v>116</v>
      </c>
      <c r="F3" s="28" t="s">
        <v>119</v>
      </c>
      <c r="G3" s="28" t="s">
        <v>130</v>
      </c>
      <c r="H3" s="28" t="s">
        <v>131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117</v>
      </c>
      <c r="C7" s="58" t="s">
        <v>121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127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122</v>
      </c>
      <c r="C18" s="45" t="s">
        <v>123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124</v>
      </c>
      <c r="C19" s="45" t="s">
        <v>125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126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135</v>
      </c>
      <c r="D65" s="79" t="s">
        <v>136</v>
      </c>
      <c r="E65" s="80" t="s">
        <v>137</v>
      </c>
    </row>
    <row r="66" spans="2:5" x14ac:dyDescent="0.2">
      <c r="B66" s="12" t="s">
        <v>134</v>
      </c>
      <c r="C66" s="81" t="s">
        <v>138</v>
      </c>
      <c r="D66" s="81" t="s">
        <v>139</v>
      </c>
      <c r="E66" s="82" t="s">
        <v>137</v>
      </c>
    </row>
    <row r="67" spans="2:5" x14ac:dyDescent="0.2">
      <c r="B67" s="29" t="s">
        <v>122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12" zoomScale="122" zoomScaleNormal="122" workbookViewId="0">
      <selection activeCell="L25" sqref="L25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8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118</v>
      </c>
      <c r="G2" s="177" t="s">
        <v>128</v>
      </c>
      <c r="H2" s="27" t="s">
        <v>129</v>
      </c>
      <c r="I2" s="27" t="s">
        <v>120</v>
      </c>
      <c r="J2" s="27" t="s">
        <v>46</v>
      </c>
      <c r="K2" s="20"/>
      <c r="P2" s="24" t="s">
        <v>115</v>
      </c>
      <c r="Q2" s="7" t="s">
        <v>149</v>
      </c>
      <c r="R2" s="7" t="s">
        <v>208</v>
      </c>
    </row>
    <row r="3" spans="2:18" x14ac:dyDescent="0.25">
      <c r="C3" s="4"/>
      <c r="D3" s="28" t="s">
        <v>156</v>
      </c>
      <c r="E3" s="28" t="s">
        <v>116</v>
      </c>
      <c r="F3" s="28" t="s">
        <v>119</v>
      </c>
      <c r="G3" s="177" t="s">
        <v>130</v>
      </c>
      <c r="H3" s="28" t="s">
        <v>131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178"/>
      <c r="H4" s="4"/>
      <c r="I4" s="4"/>
      <c r="J4" s="4"/>
      <c r="K4" s="4"/>
    </row>
    <row r="5" spans="2:18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7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7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8" x14ac:dyDescent="0.25">
      <c r="B7" s="29" t="s">
        <v>117</v>
      </c>
      <c r="C7" s="58" t="s">
        <v>121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7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8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8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59" t="s">
        <v>54</v>
      </c>
      <c r="D9" s="4"/>
      <c r="E9" s="4"/>
      <c r="F9" s="4"/>
      <c r="G9" s="178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181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2"/>
      <c r="E11" s="122">
        <f>'EBF TJ'!E11*0.2777778</f>
        <v>-2.0000001600000004</v>
      </c>
      <c r="F11" s="122">
        <f>'EBF TJ'!F11*0.2777778</f>
        <v>-16770.812452776001</v>
      </c>
      <c r="G11" s="182"/>
      <c r="H11" s="122"/>
      <c r="I11" s="122"/>
      <c r="J11" s="122"/>
      <c r="K11" s="122"/>
    </row>
    <row r="12" spans="2:18" x14ac:dyDescent="0.25">
      <c r="B12" s="29" t="s">
        <v>58</v>
      </c>
      <c r="C12" s="43" t="s">
        <v>127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8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8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59" t="s">
        <v>60</v>
      </c>
      <c r="D14" s="4"/>
      <c r="E14" s="4"/>
      <c r="F14" s="4"/>
      <c r="G14" s="178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8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8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8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38" customFormat="1" x14ac:dyDescent="0.25">
      <c r="B18" s="134" t="s">
        <v>122</v>
      </c>
      <c r="C18" s="135" t="s">
        <v>123</v>
      </c>
      <c r="D18" s="136">
        <f>'EBF TJ'!D18*0.2777778</f>
        <v>7676.2275585426005</v>
      </c>
      <c r="E18" s="136">
        <f>'EBF TJ'!E18*0.2777778</f>
        <v>2605.1202084096003</v>
      </c>
      <c r="F18" s="136">
        <f>'EBF TJ'!F18*0.2777778</f>
        <v>0</v>
      </c>
      <c r="G18" s="181">
        <f>'EBF TJ'!G18*0.2777778</f>
        <v>0</v>
      </c>
      <c r="H18" s="136">
        <f>'EBF TJ'!H18*0.2777778</f>
        <v>0</v>
      </c>
      <c r="I18" s="136">
        <f>'EBF TJ'!I18*0.2777778</f>
        <v>0</v>
      </c>
      <c r="J18" s="136">
        <f>'EBF TJ'!J18*0.2777778</f>
        <v>2861.5612011470998</v>
      </c>
      <c r="K18" s="137">
        <f t="shared" si="1"/>
        <v>13142.9089680993</v>
      </c>
    </row>
    <row r="19" spans="2:13" x14ac:dyDescent="0.25">
      <c r="B19" s="29" t="s">
        <v>124</v>
      </c>
      <c r="C19" s="45" t="s">
        <v>125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8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126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8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8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8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8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8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3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8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3" x14ac:dyDescent="0.25">
      <c r="D26" s="5"/>
      <c r="E26" s="5"/>
      <c r="F26" s="5"/>
      <c r="G26" s="181"/>
      <c r="H26" s="5"/>
      <c r="I26" s="5"/>
      <c r="J26" s="5"/>
      <c r="K26" s="5"/>
    </row>
    <row r="27" spans="2:13" x14ac:dyDescent="0.25">
      <c r="D27" s="5"/>
      <c r="E27" s="5"/>
      <c r="F27" s="5"/>
      <c r="G27" s="181"/>
      <c r="H27" s="5"/>
      <c r="I27" s="5"/>
      <c r="J27" s="5"/>
      <c r="K27" s="5"/>
      <c r="L27" s="5"/>
    </row>
    <row r="28" spans="2:13" x14ac:dyDescent="0.25">
      <c r="C28" s="35"/>
      <c r="D28" s="35"/>
      <c r="E28" s="5"/>
      <c r="F28" s="5"/>
      <c r="G28" s="181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181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181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181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18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8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8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8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81"/>
      <c r="H36" s="5"/>
      <c r="I36" s="5"/>
      <c r="J36" s="5"/>
      <c r="K36" s="5"/>
      <c r="L36" s="5"/>
    </row>
    <row r="37" spans="2:12" x14ac:dyDescent="0.25">
      <c r="C37" t="s">
        <v>147</v>
      </c>
      <c r="D37" s="13" t="s">
        <v>44</v>
      </c>
      <c r="E37" s="5" t="s">
        <v>146</v>
      </c>
      <c r="F37" s="5"/>
      <c r="G37" s="18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8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81"/>
      <c r="H39" s="5"/>
      <c r="I39" s="18"/>
      <c r="J39" s="18"/>
      <c r="K39" s="18"/>
      <c r="L39" s="18"/>
    </row>
    <row r="40" spans="2:12" x14ac:dyDescent="0.25">
      <c r="C40" s="1" t="s">
        <v>148</v>
      </c>
      <c r="D40" s="18">
        <f>D18/(D18+E18)</f>
        <v>0.7466168572973132</v>
      </c>
      <c r="E40" s="109">
        <f>E18/(E18)</f>
        <v>1</v>
      </c>
      <c r="F40" s="5"/>
      <c r="G40" s="181"/>
      <c r="H40" s="5"/>
    </row>
    <row r="44" spans="2:12" x14ac:dyDescent="0.25">
      <c r="D44" s="27" t="s">
        <v>44</v>
      </c>
      <c r="E44" s="27" t="s">
        <v>45</v>
      </c>
      <c r="F44" s="27" t="s">
        <v>118</v>
      </c>
      <c r="G44" s="177" t="s">
        <v>128</v>
      </c>
      <c r="H44" s="27" t="s">
        <v>129</v>
      </c>
      <c r="I44" s="27" t="s">
        <v>120</v>
      </c>
      <c r="J44" s="27" t="s">
        <v>46</v>
      </c>
    </row>
    <row r="45" spans="2:12" x14ac:dyDescent="0.25">
      <c r="B45" t="s">
        <v>133</v>
      </c>
      <c r="C45" t="s">
        <v>132</v>
      </c>
      <c r="D45" s="28" t="s">
        <v>47</v>
      </c>
      <c r="E45" s="28" t="s">
        <v>116</v>
      </c>
      <c r="F45" s="28" t="s">
        <v>119</v>
      </c>
      <c r="G45" s="177" t="s">
        <v>130</v>
      </c>
      <c r="H45" s="28" t="s">
        <v>131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122</v>
      </c>
      <c r="C46" t="s">
        <v>270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122</v>
      </c>
      <c r="C47" t="s">
        <v>271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122</v>
      </c>
      <c r="C48" t="s">
        <v>272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6" x14ac:dyDescent="0.25">
      <c r="J49" s="109"/>
      <c r="K49" s="112"/>
    </row>
    <row r="50" spans="2:16" x14ac:dyDescent="0.25">
      <c r="D50" t="s">
        <v>96</v>
      </c>
      <c r="J50" s="109"/>
      <c r="K50" s="112"/>
    </row>
    <row r="51" spans="2:16" x14ac:dyDescent="0.25">
      <c r="C51" t="s">
        <v>212</v>
      </c>
      <c r="D51">
        <v>2019</v>
      </c>
      <c r="E51">
        <v>2020</v>
      </c>
      <c r="F51">
        <v>2021</v>
      </c>
      <c r="G51" s="158">
        <v>2022</v>
      </c>
      <c r="H51">
        <v>2023</v>
      </c>
      <c r="J51" s="109"/>
      <c r="K51" s="112"/>
    </row>
    <row r="52" spans="2:16" x14ac:dyDescent="0.25">
      <c r="C52" t="s">
        <v>213</v>
      </c>
      <c r="D52" s="160" t="e">
        <f>#REF!</f>
        <v>#REF!</v>
      </c>
      <c r="E52" s="160" t="e">
        <f>#REF!</f>
        <v>#REF!</v>
      </c>
      <c r="F52" s="160" t="e">
        <f>#REF!</f>
        <v>#REF!</v>
      </c>
      <c r="G52" s="185" t="e">
        <f>#REF!</f>
        <v>#REF!</v>
      </c>
      <c r="H52" s="160" t="e">
        <f>#REF!</f>
        <v>#REF!</v>
      </c>
      <c r="I52" s="159"/>
      <c r="J52" s="159"/>
      <c r="K52" s="161"/>
      <c r="L52" s="109"/>
      <c r="M52" s="109"/>
      <c r="N52" s="109"/>
      <c r="O52" s="109"/>
      <c r="P52" s="112"/>
    </row>
    <row r="53" spans="2:16" x14ac:dyDescent="0.25">
      <c r="C53" t="s">
        <v>214</v>
      </c>
      <c r="D53" s="160" t="e">
        <f>#REF!</f>
        <v>#REF!</v>
      </c>
      <c r="E53" s="160" t="e">
        <f>#REF!</f>
        <v>#REF!</v>
      </c>
      <c r="F53" s="160" t="e">
        <f>#REF!</f>
        <v>#REF!</v>
      </c>
      <c r="G53" s="185" t="e">
        <f>#REF!</f>
        <v>#REF!</v>
      </c>
      <c r="H53" s="160" t="e">
        <f>#REF!</f>
        <v>#REF!</v>
      </c>
      <c r="I53" s="159"/>
      <c r="J53" s="159"/>
      <c r="K53" s="161"/>
      <c r="L53" s="109"/>
      <c r="M53" s="109"/>
      <c r="N53" s="109"/>
      <c r="O53" s="109"/>
      <c r="P53" s="112"/>
    </row>
    <row r="54" spans="2:16" s="204" customFormat="1" x14ac:dyDescent="0.25">
      <c r="C54" s="204" t="s">
        <v>215</v>
      </c>
      <c r="D54" s="205" t="e">
        <f>#REF!</f>
        <v>#REF!</v>
      </c>
      <c r="E54" s="205" t="e">
        <f>#REF!</f>
        <v>#REF!</v>
      </c>
      <c r="F54" s="205" t="e">
        <f>#REF!</f>
        <v>#REF!</v>
      </c>
      <c r="G54" s="206" t="e">
        <f>#REF!</f>
        <v>#REF!</v>
      </c>
      <c r="H54" s="205" t="e">
        <f>#REF!</f>
        <v>#REF!</v>
      </c>
      <c r="I54" s="207"/>
      <c r="J54" s="207"/>
      <c r="K54" s="208"/>
      <c r="L54" s="209"/>
      <c r="M54" s="210"/>
      <c r="N54" s="210"/>
      <c r="O54" s="210"/>
      <c r="P54" s="211"/>
    </row>
    <row r="55" spans="2:16" s="196" customFormat="1" x14ac:dyDescent="0.25">
      <c r="C55" s="196" t="s">
        <v>218</v>
      </c>
      <c r="D55" s="197" t="e">
        <f>#REF!</f>
        <v>#REF!</v>
      </c>
      <c r="E55" s="197" t="e">
        <f>#REF!</f>
        <v>#REF!</v>
      </c>
      <c r="F55" s="197" t="e">
        <f>#REF!</f>
        <v>#REF!</v>
      </c>
      <c r="G55" s="198" t="e">
        <f>#REF!</f>
        <v>#REF!</v>
      </c>
      <c r="H55" s="197" t="e">
        <f>#REF!</f>
        <v>#REF!</v>
      </c>
      <c r="I55" s="199"/>
      <c r="J55" s="199"/>
      <c r="K55" s="200"/>
      <c r="L55" s="201"/>
      <c r="M55" s="202"/>
      <c r="N55" s="202"/>
      <c r="O55" s="202"/>
      <c r="P55" s="203"/>
    </row>
    <row r="56" spans="2:16" s="189" customFormat="1" x14ac:dyDescent="0.25">
      <c r="C56" s="189" t="s">
        <v>210</v>
      </c>
      <c r="D56" s="190" t="e">
        <f>D52+D53</f>
        <v>#REF!</v>
      </c>
      <c r="E56" s="190" t="e">
        <f t="shared" ref="E56:H56" si="4">E52+E53</f>
        <v>#REF!</v>
      </c>
      <c r="F56" s="190" t="e">
        <f t="shared" si="4"/>
        <v>#REF!</v>
      </c>
      <c r="G56" s="191" t="e">
        <f t="shared" si="4"/>
        <v>#REF!</v>
      </c>
      <c r="H56" s="190" t="e">
        <f t="shared" si="4"/>
        <v>#REF!</v>
      </c>
      <c r="I56" s="192"/>
      <c r="J56" s="192"/>
      <c r="K56" s="193"/>
      <c r="L56" s="194"/>
      <c r="M56" s="194"/>
      <c r="N56" s="194"/>
      <c r="O56" s="194"/>
      <c r="P56" s="195"/>
    </row>
    <row r="57" spans="2:16" x14ac:dyDescent="0.25">
      <c r="C57" t="s">
        <v>219</v>
      </c>
      <c r="D57" s="160" t="e">
        <f>D54+D56</f>
        <v>#REF!</v>
      </c>
      <c r="E57" s="160" t="e">
        <f t="shared" ref="E57:H57" si="5">E54+E56</f>
        <v>#REF!</v>
      </c>
      <c r="F57" s="160" t="e">
        <f t="shared" si="5"/>
        <v>#REF!</v>
      </c>
      <c r="G57" s="185" t="e">
        <f t="shared" si="5"/>
        <v>#REF!</v>
      </c>
      <c r="H57" s="160" t="e">
        <f t="shared" si="5"/>
        <v>#REF!</v>
      </c>
      <c r="I57" s="159"/>
      <c r="J57" s="159"/>
      <c r="K57" s="161"/>
      <c r="L57" s="109"/>
      <c r="M57" s="109"/>
      <c r="N57" s="109"/>
      <c r="O57" s="109"/>
      <c r="P57" s="112"/>
    </row>
    <row r="58" spans="2:16" x14ac:dyDescent="0.25">
      <c r="C58" t="s">
        <v>217</v>
      </c>
      <c r="I58" s="159"/>
      <c r="J58" s="159"/>
      <c r="K58" s="161"/>
      <c r="L58" s="109"/>
      <c r="M58" s="109"/>
      <c r="N58" s="109"/>
      <c r="O58" s="109"/>
      <c r="P58" s="112"/>
    </row>
    <row r="59" spans="2:16" x14ac:dyDescent="0.25">
      <c r="C59" t="s">
        <v>216</v>
      </c>
      <c r="I59" s="159"/>
      <c r="J59" s="159"/>
      <c r="K59" s="161"/>
      <c r="L59" s="109"/>
      <c r="M59" s="109"/>
      <c r="N59" s="109"/>
      <c r="O59" s="109"/>
      <c r="P59" s="112"/>
    </row>
    <row r="60" spans="2:16" x14ac:dyDescent="0.25">
      <c r="C60" t="s">
        <v>220</v>
      </c>
      <c r="I60" s="159"/>
      <c r="J60" s="159"/>
      <c r="K60" s="161"/>
      <c r="L60" s="109"/>
      <c r="M60" s="109"/>
      <c r="N60" s="109"/>
      <c r="O60" s="109"/>
      <c r="P60" s="112"/>
    </row>
    <row r="61" spans="2:16" x14ac:dyDescent="0.25">
      <c r="B61" t="s">
        <v>106</v>
      </c>
      <c r="C61" t="s">
        <v>226</v>
      </c>
      <c r="D61">
        <f>D51</f>
        <v>2019</v>
      </c>
      <c r="E61">
        <f t="shared" ref="E61:H61" si="6">E51</f>
        <v>2020</v>
      </c>
      <c r="F61">
        <f t="shared" si="6"/>
        <v>2021</v>
      </c>
      <c r="G61" s="158">
        <f t="shared" si="6"/>
        <v>2022</v>
      </c>
      <c r="H61">
        <f t="shared" si="6"/>
        <v>2023</v>
      </c>
      <c r="I61" s="159"/>
      <c r="J61" s="159"/>
      <c r="K61" s="161"/>
      <c r="L61" s="109"/>
      <c r="M61" s="109"/>
      <c r="N61" s="109"/>
      <c r="O61" s="109"/>
      <c r="P61" s="112"/>
    </row>
    <row r="62" spans="2:16" ht="12.75" x14ac:dyDescent="0.2">
      <c r="C62" t="s">
        <v>227</v>
      </c>
      <c r="D62" s="160" t="e">
        <f>D54</f>
        <v>#REF!</v>
      </c>
      <c r="E62" s="160" t="e">
        <f t="shared" ref="E62:H62" si="7">E54</f>
        <v>#REF!</v>
      </c>
      <c r="F62" s="160" t="e">
        <f t="shared" si="7"/>
        <v>#REF!</v>
      </c>
      <c r="G62" s="160" t="e">
        <f t="shared" si="7"/>
        <v>#REF!</v>
      </c>
      <c r="H62" s="160" t="e">
        <f t="shared" si="7"/>
        <v>#REF!</v>
      </c>
      <c r="I62" s="159"/>
      <c r="J62" s="159"/>
      <c r="K62" s="161"/>
      <c r="L62" s="109"/>
      <c r="M62" s="109"/>
      <c r="N62" s="109"/>
      <c r="O62" s="109"/>
      <c r="P62" s="112"/>
    </row>
    <row r="63" spans="2:16" ht="12.75" x14ac:dyDescent="0.2">
      <c r="C63" t="s">
        <v>218</v>
      </c>
      <c r="D63" s="160" t="e">
        <f>D55</f>
        <v>#REF!</v>
      </c>
      <c r="E63" s="160" t="e">
        <f t="shared" ref="E63:G63" si="8">E55</f>
        <v>#REF!</v>
      </c>
      <c r="F63" s="160" t="e">
        <f t="shared" si="8"/>
        <v>#REF!</v>
      </c>
      <c r="G63" s="160" t="e">
        <f t="shared" si="8"/>
        <v>#REF!</v>
      </c>
      <c r="H63" s="160" t="e">
        <f t="shared" ref="H63" si="9">H55</f>
        <v>#REF!</v>
      </c>
      <c r="I63" s="159"/>
      <c r="J63" s="159"/>
      <c r="K63" s="161"/>
      <c r="L63" s="109"/>
      <c r="M63" s="109"/>
      <c r="N63" s="109"/>
      <c r="O63" s="109"/>
      <c r="P63" s="112"/>
    </row>
    <row r="64" spans="2:16" ht="12.75" x14ac:dyDescent="0.2">
      <c r="C64" t="s">
        <v>269</v>
      </c>
      <c r="D64" s="160" t="e">
        <f>D56</f>
        <v>#REF!</v>
      </c>
      <c r="E64" s="160" t="e">
        <f t="shared" ref="E64:G64" si="10">E56</f>
        <v>#REF!</v>
      </c>
      <c r="F64" s="160" t="e">
        <f t="shared" si="10"/>
        <v>#REF!</v>
      </c>
      <c r="G64" s="160" t="e">
        <f t="shared" si="10"/>
        <v>#REF!</v>
      </c>
      <c r="H64" s="160" t="e">
        <f t="shared" ref="H64" si="11">0.55*H56</f>
        <v>#REF!</v>
      </c>
      <c r="I64" s="159"/>
      <c r="J64" s="159"/>
      <c r="K64" s="161"/>
      <c r="L64" s="109"/>
      <c r="M64" s="109"/>
      <c r="N64" s="109"/>
      <c r="O64" s="109"/>
      <c r="P64" s="112"/>
    </row>
    <row r="65" spans="2:16" x14ac:dyDescent="0.25">
      <c r="D65" s="160"/>
      <c r="E65" s="160"/>
      <c r="F65" s="160"/>
      <c r="G65" s="185"/>
      <c r="H65" s="160"/>
      <c r="I65" s="159"/>
      <c r="J65" s="159"/>
      <c r="K65" s="161"/>
      <c r="L65" s="109"/>
      <c r="M65" s="109"/>
      <c r="N65" s="109"/>
      <c r="O65" s="109"/>
    </row>
    <row r="66" spans="2:16" x14ac:dyDescent="0.25">
      <c r="I66" s="159"/>
      <c r="J66" s="159"/>
      <c r="K66" s="161"/>
      <c r="L66" s="109"/>
      <c r="M66" s="109"/>
      <c r="N66" s="109"/>
      <c r="O66" s="109"/>
    </row>
    <row r="67" spans="2:16" x14ac:dyDescent="0.25">
      <c r="D67" s="160"/>
      <c r="E67" s="160"/>
      <c r="F67" s="160"/>
      <c r="G67" s="185"/>
      <c r="H67" s="160"/>
      <c r="I67" s="159"/>
      <c r="J67" s="159"/>
      <c r="K67" s="161"/>
      <c r="L67" s="109"/>
      <c r="M67" s="109"/>
      <c r="N67" s="109"/>
      <c r="O67" s="109"/>
      <c r="P67" s="109"/>
    </row>
    <row r="68" spans="2:16" x14ac:dyDescent="0.25">
      <c r="D68" s="160"/>
      <c r="E68" s="160"/>
      <c r="F68" s="160"/>
      <c r="G68" s="185"/>
      <c r="H68" s="160"/>
      <c r="I68" s="159"/>
      <c r="J68" s="159"/>
      <c r="K68" s="161"/>
      <c r="L68" s="109"/>
      <c r="M68" s="109"/>
      <c r="N68" s="109"/>
      <c r="O68" s="109"/>
      <c r="P68" s="109"/>
    </row>
    <row r="69" spans="2:16" x14ac:dyDescent="0.25">
      <c r="J69" s="109"/>
      <c r="K69" s="112"/>
    </row>
    <row r="70" spans="2:16" x14ac:dyDescent="0.25">
      <c r="J70" s="109"/>
      <c r="K70" s="112"/>
    </row>
    <row r="72" spans="2:16" x14ac:dyDescent="0.25">
      <c r="C72" s="78" t="s">
        <v>135</v>
      </c>
      <c r="D72" s="79" t="s">
        <v>136</v>
      </c>
      <c r="E72" s="80" t="s">
        <v>137</v>
      </c>
    </row>
    <row r="73" spans="2:16" x14ac:dyDescent="0.25">
      <c r="B73" s="12" t="s">
        <v>134</v>
      </c>
      <c r="C73" s="81" t="s">
        <v>138</v>
      </c>
      <c r="D73" s="81" t="s">
        <v>139</v>
      </c>
      <c r="E73" s="82" t="s">
        <v>137</v>
      </c>
    </row>
    <row r="74" spans="2:16" x14ac:dyDescent="0.25">
      <c r="B74" s="29" t="s">
        <v>122</v>
      </c>
      <c r="C74" s="83">
        <v>1</v>
      </c>
      <c r="D74" s="84"/>
      <c r="E74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33" sqref="F3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6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149</v>
      </c>
      <c r="G2" s="7" t="str">
        <f>EBF!P2</f>
        <v>TH$2022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146</v>
      </c>
      <c r="E3" s="7" t="s">
        <v>149</v>
      </c>
      <c r="G3" s="7" t="str">
        <f>EBF!P2</f>
        <v>TH$2022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42" t="s">
        <v>201</v>
      </c>
      <c r="D4" s="1" t="s">
        <v>199</v>
      </c>
      <c r="E4" s="77" t="s">
        <v>149</v>
      </c>
      <c r="G4" s="7" t="str">
        <f>EBF!P2</f>
        <v>TH$2022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43"/>
      <c r="D5" s="143"/>
      <c r="E5" s="77"/>
      <c r="F5" s="143"/>
      <c r="G5" s="7"/>
      <c r="M5" s="64" t="s">
        <v>74</v>
      </c>
      <c r="N5" s="68"/>
      <c r="O5" s="141" t="s">
        <v>205</v>
      </c>
      <c r="P5" s="64" t="s">
        <v>153</v>
      </c>
      <c r="Q5" s="64" t="s">
        <v>149</v>
      </c>
      <c r="R5" s="64"/>
      <c r="S5" s="64"/>
      <c r="T5" s="64"/>
      <c r="U5" s="64"/>
    </row>
    <row r="6" spans="2:21" ht="15.75" x14ac:dyDescent="0.25">
      <c r="C6" s="143"/>
      <c r="D6" s="143"/>
      <c r="E6" s="77"/>
      <c r="F6" s="143"/>
      <c r="G6" s="7"/>
      <c r="M6" s="64" t="s">
        <v>74</v>
      </c>
      <c r="N6" s="68"/>
      <c r="O6" s="141" t="s">
        <v>206</v>
      </c>
      <c r="P6" s="64" t="s">
        <v>154</v>
      </c>
      <c r="Q6" s="64" t="s">
        <v>149</v>
      </c>
      <c r="R6" s="64"/>
      <c r="S6" s="64"/>
      <c r="T6" s="64"/>
      <c r="U6" s="64"/>
    </row>
    <row r="7" spans="2:21" ht="15.75" x14ac:dyDescent="0.25">
      <c r="C7" s="143"/>
      <c r="D7" s="143"/>
      <c r="E7" s="77"/>
      <c r="F7" s="143"/>
      <c r="G7" s="7"/>
      <c r="M7" s="64" t="s">
        <v>74</v>
      </c>
      <c r="N7" s="68"/>
      <c r="O7" s="141" t="s">
        <v>207</v>
      </c>
      <c r="P7" s="64" t="s">
        <v>155</v>
      </c>
      <c r="Q7" s="64" t="s">
        <v>149</v>
      </c>
      <c r="R7" s="64"/>
      <c r="S7" s="64"/>
      <c r="T7" s="64"/>
      <c r="U7" s="64"/>
    </row>
    <row r="8" spans="2:21" ht="15.75" x14ac:dyDescent="0.25">
      <c r="C8" s="143"/>
      <c r="D8" s="143"/>
      <c r="E8" s="77"/>
      <c r="F8" s="143"/>
      <c r="G8" s="7"/>
      <c r="M8" s="141" t="s">
        <v>46</v>
      </c>
      <c r="N8" s="68"/>
      <c r="O8" s="141" t="s">
        <v>46</v>
      </c>
      <c r="P8" s="141" t="s">
        <v>209</v>
      </c>
      <c r="Q8" s="64" t="s">
        <v>149</v>
      </c>
      <c r="R8" s="64"/>
      <c r="S8" s="64"/>
      <c r="T8" s="64"/>
      <c r="U8" s="64"/>
    </row>
    <row r="9" spans="2:21" ht="15.75" x14ac:dyDescent="0.25">
      <c r="C9" s="143"/>
      <c r="D9" s="143"/>
      <c r="E9" s="77"/>
      <c r="F9" s="143"/>
      <c r="G9" s="7"/>
      <c r="M9" s="144"/>
      <c r="N9" s="144"/>
      <c r="O9" s="144"/>
      <c r="P9" s="144"/>
      <c r="Q9" s="144"/>
      <c r="R9" s="64"/>
      <c r="S9" s="64"/>
      <c r="T9" s="64"/>
      <c r="U9" s="64"/>
    </row>
    <row r="10" spans="2:21" x14ac:dyDescent="0.2">
      <c r="M10" s="144"/>
      <c r="N10" s="144"/>
      <c r="O10" s="144"/>
      <c r="P10" s="144"/>
      <c r="Q10" s="144"/>
      <c r="R10" s="64"/>
      <c r="S10" s="64"/>
      <c r="T10" s="64"/>
      <c r="U10" s="64"/>
    </row>
    <row r="11" spans="2:21" x14ac:dyDescent="0.2">
      <c r="M11" s="144"/>
      <c r="N11" s="144"/>
      <c r="O11" s="144"/>
      <c r="P11" s="144"/>
      <c r="Q11" s="144"/>
      <c r="R11" s="64"/>
      <c r="S11" s="64"/>
      <c r="T11" s="64"/>
      <c r="U11" s="64"/>
    </row>
    <row r="12" spans="2:21" x14ac:dyDescent="0.2">
      <c r="M12" s="141"/>
      <c r="N12" s="68"/>
      <c r="O12" s="141"/>
      <c r="P12" s="141"/>
      <c r="Q12" s="141"/>
      <c r="R12" s="64"/>
      <c r="S12" s="64"/>
      <c r="T12" s="64"/>
      <c r="U12" s="64"/>
    </row>
    <row r="13" spans="2:21" x14ac:dyDescent="0.2">
      <c r="M13" s="141"/>
      <c r="N13" s="68"/>
      <c r="O13" s="141"/>
      <c r="P13" s="141"/>
      <c r="Q13" s="141"/>
      <c r="R13" s="64"/>
      <c r="S13" s="64"/>
      <c r="T13" s="64"/>
      <c r="U13" s="64"/>
    </row>
    <row r="14" spans="2:21" x14ac:dyDescent="0.2">
      <c r="M14" s="141"/>
      <c r="N14" s="68"/>
      <c r="O14" s="141"/>
      <c r="P14" s="141"/>
      <c r="Q14" s="141"/>
      <c r="R14" s="64"/>
      <c r="S14" s="64"/>
      <c r="T14" s="64"/>
      <c r="U14" s="64"/>
    </row>
    <row r="15" spans="2:21" x14ac:dyDescent="0.2">
      <c r="M15" s="155"/>
      <c r="N15" s="155"/>
      <c r="O15" s="155"/>
      <c r="P15" s="155"/>
      <c r="Q15" s="155"/>
      <c r="R15" s="64"/>
      <c r="S15" s="64"/>
      <c r="T15" s="64"/>
      <c r="U15" s="64"/>
    </row>
    <row r="16" spans="2:21" x14ac:dyDescent="0.2">
      <c r="M16" s="155"/>
      <c r="N16" s="155"/>
      <c r="O16" s="155"/>
      <c r="P16" s="155"/>
      <c r="Q16" s="155"/>
      <c r="R16" s="64"/>
      <c r="S16" s="64"/>
      <c r="T16" s="64"/>
      <c r="U16" s="64"/>
    </row>
    <row r="17" spans="2:21" x14ac:dyDescent="0.2">
      <c r="M17" s="141"/>
      <c r="N17" s="68"/>
      <c r="O17" s="141"/>
      <c r="P17" s="141"/>
      <c r="Q17" s="141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150</v>
      </c>
      <c r="K20" s="167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151</v>
      </c>
      <c r="K21" s="168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193</v>
      </c>
      <c r="I22" s="8" t="str">
        <f>$E$2</f>
        <v>GWh</v>
      </c>
      <c r="J22" s="9"/>
      <c r="K22" s="169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42"/>
      <c r="G23" s="219">
        <v>3333333.3</v>
      </c>
      <c r="H23" s="218">
        <v>7.5875149887673601</v>
      </c>
      <c r="I23" s="87"/>
      <c r="J23" s="113">
        <v>8.76</v>
      </c>
      <c r="K23" s="170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149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42"/>
      <c r="G24" s="60"/>
      <c r="H24" s="61">
        <v>21.004999999999999</v>
      </c>
      <c r="I24" s="87"/>
      <c r="J24" s="113">
        <v>8.76</v>
      </c>
      <c r="K24" s="170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149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42"/>
      <c r="H25" s="49">
        <v>29.234999999999999</v>
      </c>
      <c r="I25" s="87"/>
      <c r="J25" s="113">
        <v>8.76</v>
      </c>
      <c r="K25" s="170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149</v>
      </c>
    </row>
    <row r="26" spans="2:21" x14ac:dyDescent="0.2">
      <c r="B26" s="64" t="str">
        <f>O26</f>
        <v>ELCGRID</v>
      </c>
      <c r="C26" s="68"/>
      <c r="D26" s="141" t="str">
        <f>O$8</f>
        <v>ELC</v>
      </c>
      <c r="E26" s="1">
        <v>2022</v>
      </c>
      <c r="F26" s="142"/>
      <c r="H26" s="218">
        <v>100</v>
      </c>
      <c r="I26" s="87"/>
      <c r="J26" s="113">
        <v>8.76</v>
      </c>
      <c r="K26" s="170"/>
      <c r="M26" s="143" t="s">
        <v>46</v>
      </c>
      <c r="N26" s="143"/>
      <c r="O26" s="68" t="str">
        <f>$M$26&amp;$C$4</f>
        <v>ELCGRID</v>
      </c>
      <c r="P26" s="145" t="s">
        <v>202</v>
      </c>
      <c r="Q26" t="s">
        <v>149</v>
      </c>
      <c r="S26" s="142" t="s">
        <v>204</v>
      </c>
    </row>
    <row r="27" spans="2:21" x14ac:dyDescent="0.2">
      <c r="B27" s="152"/>
      <c r="C27" s="152"/>
      <c r="D27" s="141"/>
      <c r="E27" s="151"/>
      <c r="F27" s="143"/>
      <c r="G27" s="143"/>
      <c r="H27" s="171"/>
      <c r="I27" s="175"/>
      <c r="J27" s="171"/>
      <c r="K27" s="171"/>
      <c r="M27" s="143"/>
      <c r="N27" s="143"/>
      <c r="O27" s="144"/>
      <c r="P27" s="145"/>
      <c r="Q27" s="143"/>
    </row>
    <row r="28" spans="2:21" x14ac:dyDescent="0.2">
      <c r="B28" s="152"/>
      <c r="C28" s="152"/>
      <c r="D28" s="141"/>
      <c r="E28" s="151"/>
      <c r="F28" s="143"/>
      <c r="G28" s="143"/>
      <c r="H28" s="171"/>
      <c r="I28" s="175"/>
      <c r="J28" s="171"/>
      <c r="K28" s="171"/>
      <c r="M28" s="151"/>
      <c r="N28" s="151"/>
      <c r="O28" s="152"/>
      <c r="P28" s="154"/>
      <c r="Q28" s="151"/>
    </row>
    <row r="29" spans="2:21" x14ac:dyDescent="0.2">
      <c r="B29" s="152"/>
      <c r="C29" s="152"/>
      <c r="D29" s="152"/>
      <c r="E29" s="151"/>
      <c r="F29" s="143"/>
      <c r="G29" s="143"/>
      <c r="H29" s="171"/>
      <c r="I29" s="175"/>
      <c r="J29" s="171"/>
      <c r="K29" s="171"/>
      <c r="M29" s="151"/>
      <c r="N29" s="151"/>
      <c r="O29" s="152"/>
      <c r="P29" s="154"/>
      <c r="Q29" s="151"/>
    </row>
    <row r="30" spans="2:21" x14ac:dyDescent="0.2">
      <c r="B30" s="152"/>
      <c r="C30" s="152"/>
      <c r="D30" s="152"/>
      <c r="E30" s="151"/>
      <c r="F30" s="143"/>
      <c r="G30" s="143"/>
      <c r="H30" s="171"/>
      <c r="I30" s="175"/>
      <c r="J30" s="171"/>
      <c r="K30" s="171"/>
      <c r="M30" s="142"/>
      <c r="O30" s="152"/>
      <c r="P30" s="154"/>
      <c r="Q30" s="151"/>
    </row>
    <row r="31" spans="2:21" x14ac:dyDescent="0.2">
      <c r="B31" s="152"/>
      <c r="C31" s="152"/>
      <c r="D31" s="152"/>
      <c r="E31" s="151"/>
      <c r="F31" s="143"/>
      <c r="G31" s="143"/>
      <c r="H31" s="171"/>
      <c r="I31" s="175"/>
      <c r="J31" s="171"/>
      <c r="K31" s="171"/>
      <c r="M31" s="142"/>
      <c r="O31" s="141"/>
      <c r="P31" s="153"/>
      <c r="Q31" s="151"/>
    </row>
    <row r="32" spans="2:21" x14ac:dyDescent="0.2">
      <c r="B32" s="144"/>
      <c r="C32" s="144"/>
      <c r="D32" s="144"/>
      <c r="E32" s="143"/>
      <c r="F32" s="143"/>
      <c r="G32" s="143"/>
      <c r="H32" s="171"/>
      <c r="I32" s="175"/>
      <c r="J32" s="171"/>
      <c r="K32" s="171"/>
      <c r="O32" s="68"/>
      <c r="P32" s="70"/>
    </row>
    <row r="33" spans="1:24" x14ac:dyDescent="0.2">
      <c r="B33" s="64"/>
      <c r="C33" s="68"/>
      <c r="D33" s="141"/>
      <c r="E33" s="1"/>
      <c r="F33" s="1"/>
      <c r="H33" s="170"/>
      <c r="I33" s="175"/>
      <c r="J33" s="170"/>
      <c r="K33" s="170"/>
      <c r="O33" s="68"/>
      <c r="P33" s="70"/>
    </row>
    <row r="34" spans="1:24" x14ac:dyDescent="0.2">
      <c r="B34" s="64"/>
      <c r="C34" s="68"/>
      <c r="D34" s="141"/>
      <c r="E34" s="1"/>
      <c r="F34" s="1"/>
      <c r="H34" s="170"/>
      <c r="I34" s="175"/>
      <c r="J34" s="170"/>
      <c r="K34" s="170"/>
      <c r="O34" s="68"/>
      <c r="P34" s="70"/>
    </row>
    <row r="35" spans="1:24" x14ac:dyDescent="0.2">
      <c r="B35" s="64"/>
      <c r="C35" s="68"/>
      <c r="D35" s="141"/>
      <c r="E35" s="1"/>
      <c r="F35" s="1"/>
      <c r="H35" s="170"/>
      <c r="I35" s="175"/>
      <c r="J35" s="170"/>
      <c r="K35" s="170"/>
      <c r="O35" s="68"/>
      <c r="P35" s="70"/>
    </row>
    <row r="36" spans="1:24" x14ac:dyDescent="0.2">
      <c r="B36" s="64"/>
      <c r="C36" s="68"/>
      <c r="D36" s="141"/>
      <c r="E36" s="1"/>
      <c r="F36" s="1"/>
      <c r="H36" s="170"/>
      <c r="I36" s="175"/>
      <c r="J36" s="170"/>
      <c r="K36" s="170"/>
      <c r="O36" s="68"/>
      <c r="P36" s="70"/>
    </row>
    <row r="37" spans="1:24" x14ac:dyDescent="0.2">
      <c r="B37" s="64"/>
      <c r="D37" s="64"/>
      <c r="E37" s="1"/>
      <c r="F37" s="1"/>
      <c r="H37" s="170"/>
      <c r="I37" s="175"/>
      <c r="J37" s="170"/>
      <c r="K37" s="170"/>
      <c r="O37" s="68"/>
      <c r="P37" s="70"/>
    </row>
    <row r="38" spans="1:24" x14ac:dyDescent="0.2">
      <c r="H38" s="166"/>
      <c r="I38" s="166"/>
      <c r="J38" s="166"/>
    </row>
    <row r="39" spans="1:24" x14ac:dyDescent="0.2">
      <c r="B39" s="48"/>
      <c r="C39" s="1" t="s">
        <v>97</v>
      </c>
      <c r="T39" s="155"/>
      <c r="U39" s="155"/>
      <c r="V39" s="155"/>
      <c r="W39" s="155"/>
      <c r="X39" s="155"/>
    </row>
    <row r="40" spans="1:24" x14ac:dyDescent="0.2">
      <c r="B40" s="47"/>
      <c r="C40" s="1" t="s">
        <v>98</v>
      </c>
      <c r="T40" s="155"/>
      <c r="U40" s="155"/>
      <c r="V40" s="155"/>
      <c r="W40" s="155"/>
      <c r="X40" s="15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6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59"/>
  <sheetViews>
    <sheetView tabSelected="1" topLeftCell="A18" zoomScale="118" zoomScaleNormal="118" workbookViewId="0">
      <selection activeCell="J28" sqref="J28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2" width="8.140625" style="88" customWidth="1"/>
    <col min="23" max="23" width="12.7109375" style="88" bestFit="1" customWidth="1"/>
    <col min="24" max="24" width="7.140625" style="88" customWidth="1"/>
    <col min="25" max="25" width="15.85546875" style="88" bestFit="1" customWidth="1"/>
    <col min="26" max="26" width="63.85546875" style="88" bestFit="1" customWidth="1"/>
    <col min="27" max="27" width="8.28515625" style="88" bestFit="1" customWidth="1"/>
    <col min="28" max="28" width="11.7109375" style="88" customWidth="1"/>
    <col min="29" max="29" width="13.42578125" style="88" customWidth="1"/>
    <col min="30" max="30" width="13.85546875" style="88" customWidth="1"/>
    <col min="31" max="31" width="8.42578125" style="88" customWidth="1"/>
    <col min="32" max="16384" width="8.85546875" style="88"/>
  </cols>
  <sheetData>
    <row r="1" spans="2:31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101</v>
      </c>
      <c r="W2" s="89" t="s">
        <v>14</v>
      </c>
      <c r="X2" s="89"/>
      <c r="Y2" s="90"/>
      <c r="Z2" s="90"/>
      <c r="AA2" s="90"/>
      <c r="AB2" s="90"/>
      <c r="AC2" s="90"/>
      <c r="AD2" s="90"/>
      <c r="AE2" s="90"/>
    </row>
    <row r="3" spans="2:31" x14ac:dyDescent="0.2">
      <c r="W3" s="91" t="s">
        <v>7</v>
      </c>
      <c r="X3" s="92" t="s">
        <v>30</v>
      </c>
      <c r="Y3" s="91" t="s">
        <v>0</v>
      </c>
      <c r="Z3" s="91" t="s">
        <v>3</v>
      </c>
      <c r="AA3" s="91" t="s">
        <v>4</v>
      </c>
      <c r="AB3" s="91" t="s">
        <v>8</v>
      </c>
      <c r="AC3" s="91" t="s">
        <v>9</v>
      </c>
      <c r="AD3" s="91" t="s">
        <v>10</v>
      </c>
      <c r="AE3" s="91" t="s">
        <v>12</v>
      </c>
    </row>
    <row r="4" spans="2:31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W4" s="93" t="s">
        <v>37</v>
      </c>
      <c r="X4" s="93" t="s">
        <v>31</v>
      </c>
      <c r="Y4" s="93" t="s">
        <v>26</v>
      </c>
      <c r="Z4" s="93" t="s">
        <v>27</v>
      </c>
      <c r="AA4" s="93" t="s">
        <v>4</v>
      </c>
      <c r="AB4" s="93" t="s">
        <v>40</v>
      </c>
      <c r="AC4" s="93" t="s">
        <v>41</v>
      </c>
      <c r="AD4" s="93" t="s">
        <v>28</v>
      </c>
      <c r="AE4" s="93" t="s">
        <v>29</v>
      </c>
    </row>
    <row r="5" spans="2:31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W5" s="147" t="s">
        <v>82</v>
      </c>
      <c r="X5" s="147"/>
      <c r="Y5" s="147" t="s">
        <v>227</v>
      </c>
      <c r="Z5" s="147" t="s">
        <v>224</v>
      </c>
      <c r="AA5" s="90" t="s">
        <v>149</v>
      </c>
      <c r="AB5" s="90"/>
      <c r="AC5" s="90"/>
      <c r="AD5" s="90"/>
      <c r="AE5" s="90"/>
    </row>
    <row r="6" spans="2:31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W6" s="90" t="s">
        <v>82</v>
      </c>
      <c r="X6" s="90"/>
      <c r="Y6" s="90" t="s">
        <v>152</v>
      </c>
      <c r="Z6" s="90" t="s">
        <v>203</v>
      </c>
      <c r="AA6" s="90" t="s">
        <v>149</v>
      </c>
      <c r="AB6" s="90"/>
      <c r="AC6" s="90"/>
      <c r="AD6" s="90"/>
      <c r="AE6" s="90"/>
    </row>
    <row r="7" spans="2:31" x14ac:dyDescent="0.2">
      <c r="W7" s="90" t="s">
        <v>140</v>
      </c>
      <c r="X7" s="90"/>
      <c r="Y7" s="90" t="str">
        <f>$B$2&amp;EBF!C72</f>
        <v>MANCO2</v>
      </c>
      <c r="Z7" s="90" t="str">
        <f>$C$2&amp;" "&amp;EBF!C72</f>
        <v>Manufacturing CO2</v>
      </c>
      <c r="AA7" s="90" t="str">
        <f>EBF!R2</f>
        <v>ktoe</v>
      </c>
      <c r="AB7" s="90"/>
      <c r="AC7" s="90"/>
      <c r="AD7" s="90"/>
      <c r="AE7" s="90"/>
    </row>
    <row r="8" spans="2:31" x14ac:dyDescent="0.2">
      <c r="W8" s="147" t="s">
        <v>82</v>
      </c>
      <c r="X8" s="147"/>
      <c r="Y8" s="147" t="s">
        <v>269</v>
      </c>
      <c r="Z8" s="147" t="s">
        <v>225</v>
      </c>
      <c r="AA8" s="162" t="s">
        <v>149</v>
      </c>
      <c r="AB8" s="90"/>
      <c r="AC8" s="90"/>
      <c r="AD8" s="90"/>
      <c r="AE8" s="90"/>
    </row>
    <row r="9" spans="2:31" x14ac:dyDescent="0.2">
      <c r="W9" s="147"/>
      <c r="X9" s="147"/>
      <c r="Y9" s="147"/>
      <c r="Z9" s="147"/>
      <c r="AA9" s="162"/>
      <c r="AB9" s="90"/>
      <c r="AC9" s="90"/>
      <c r="AD9" s="90"/>
      <c r="AE9" s="90"/>
    </row>
    <row r="10" spans="2:31" x14ac:dyDescent="0.2">
      <c r="W10" s="174" t="s">
        <v>82</v>
      </c>
      <c r="X10" s="174"/>
      <c r="Y10" s="174" t="s">
        <v>227</v>
      </c>
      <c r="Z10" s="174" t="s">
        <v>228</v>
      </c>
      <c r="AA10" s="162" t="s">
        <v>149</v>
      </c>
      <c r="AB10" s="90"/>
      <c r="AC10" s="90"/>
      <c r="AD10" s="90"/>
      <c r="AE10" s="90"/>
    </row>
    <row r="11" spans="2:31" x14ac:dyDescent="0.2">
      <c r="W11" s="162" t="s">
        <v>74</v>
      </c>
      <c r="X11" s="90"/>
      <c r="Y11" s="162" t="s">
        <v>230</v>
      </c>
      <c r="Z11" s="162" t="s">
        <v>232</v>
      </c>
      <c r="AA11" s="162" t="s">
        <v>149</v>
      </c>
      <c r="AB11" s="90"/>
      <c r="AC11" s="90"/>
      <c r="AD11" s="90"/>
      <c r="AE11" s="90"/>
    </row>
    <row r="12" spans="2:31" x14ac:dyDescent="0.2">
      <c r="W12" s="162"/>
      <c r="X12" s="90"/>
      <c r="Y12" s="162"/>
      <c r="Z12" s="162"/>
      <c r="AA12" s="162"/>
      <c r="AB12" s="90"/>
      <c r="AC12" s="90"/>
      <c r="AD12" s="90"/>
      <c r="AE12" s="90"/>
    </row>
    <row r="13" spans="2:31" x14ac:dyDescent="0.2">
      <c r="W13" s="162"/>
      <c r="X13" s="90"/>
      <c r="Y13" s="162"/>
      <c r="Z13" s="162"/>
      <c r="AA13" s="162"/>
      <c r="AB13" s="90"/>
      <c r="AC13" s="90"/>
      <c r="AD13" s="90"/>
      <c r="AE13" s="90"/>
    </row>
    <row r="14" spans="2:31" x14ac:dyDescent="0.2">
      <c r="W14" s="162"/>
      <c r="X14" s="90"/>
      <c r="Y14" s="162"/>
      <c r="Z14" s="162"/>
      <c r="AA14" s="162"/>
      <c r="AB14" s="90"/>
      <c r="AC14" s="90"/>
      <c r="AD14" s="90"/>
      <c r="AE14" s="90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89" t="s">
        <v>15</v>
      </c>
      <c r="X16" s="89"/>
      <c r="Y16" s="90"/>
      <c r="Z16" s="90"/>
      <c r="AA16" s="90"/>
      <c r="AB16" s="90"/>
      <c r="AC16" s="90"/>
      <c r="AD16" s="90"/>
      <c r="AE16" s="90"/>
    </row>
    <row r="17" spans="2:31" ht="24" customHeight="1" x14ac:dyDescent="0.2">
      <c r="B17" s="52" t="s">
        <v>1</v>
      </c>
      <c r="C17" s="52" t="s">
        <v>5</v>
      </c>
      <c r="D17" s="52" t="s">
        <v>6</v>
      </c>
      <c r="E17" s="95" t="s">
        <v>233</v>
      </c>
      <c r="F17" s="96" t="s">
        <v>263</v>
      </c>
      <c r="G17" s="96" t="s">
        <v>264</v>
      </c>
      <c r="H17" s="96" t="s">
        <v>265</v>
      </c>
      <c r="I17" s="96" t="s">
        <v>266</v>
      </c>
      <c r="J17" s="96" t="s">
        <v>267</v>
      </c>
      <c r="K17" s="96" t="s">
        <v>268</v>
      </c>
      <c r="L17" s="96" t="s">
        <v>262</v>
      </c>
      <c r="M17" s="95" t="s">
        <v>102</v>
      </c>
      <c r="N17" s="95" t="s">
        <v>103</v>
      </c>
      <c r="O17" s="95" t="s">
        <v>104</v>
      </c>
      <c r="P17" s="95" t="s">
        <v>222</v>
      </c>
      <c r="Q17" s="95" t="s">
        <v>157</v>
      </c>
      <c r="R17" s="95" t="s">
        <v>158</v>
      </c>
      <c r="S17" s="95" t="s">
        <v>150</v>
      </c>
      <c r="T17" s="95" t="s">
        <v>259</v>
      </c>
      <c r="U17" s="163"/>
      <c r="V17" s="163"/>
      <c r="W17" s="91" t="s">
        <v>11</v>
      </c>
      <c r="X17" s="92" t="s">
        <v>30</v>
      </c>
      <c r="Y17" s="91" t="s">
        <v>1</v>
      </c>
      <c r="Z17" s="91" t="s">
        <v>2</v>
      </c>
      <c r="AA17" s="91" t="s">
        <v>16</v>
      </c>
      <c r="AB17" s="91" t="s">
        <v>17</v>
      </c>
      <c r="AC17" s="91" t="s">
        <v>18</v>
      </c>
      <c r="AD17" s="91" t="s">
        <v>19</v>
      </c>
      <c r="AE17" s="91" t="s">
        <v>20</v>
      </c>
    </row>
    <row r="18" spans="2:31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141</v>
      </c>
      <c r="G18" s="97" t="s">
        <v>141</v>
      </c>
      <c r="H18" s="97" t="s">
        <v>141</v>
      </c>
      <c r="I18" s="97" t="s">
        <v>141</v>
      </c>
      <c r="J18" s="97" t="s">
        <v>141</v>
      </c>
      <c r="K18" s="97" t="s">
        <v>141</v>
      </c>
      <c r="L18" s="97" t="s">
        <v>141</v>
      </c>
      <c r="M18" s="97" t="s">
        <v>106</v>
      </c>
      <c r="N18" s="98" t="s">
        <v>107</v>
      </c>
      <c r="O18" s="97" t="s">
        <v>113</v>
      </c>
      <c r="P18" s="97" t="s">
        <v>223</v>
      </c>
      <c r="Q18" s="97" t="s">
        <v>159</v>
      </c>
      <c r="R18" s="98" t="s">
        <v>160</v>
      </c>
      <c r="S18" s="97" t="s">
        <v>151</v>
      </c>
      <c r="T18" s="97" t="s">
        <v>260</v>
      </c>
      <c r="U18" s="164"/>
      <c r="V18" s="164"/>
      <c r="W18" s="93" t="s">
        <v>38</v>
      </c>
      <c r="X18" s="93" t="s">
        <v>31</v>
      </c>
      <c r="Y18" s="93" t="s">
        <v>21</v>
      </c>
      <c r="Z18" s="93" t="s">
        <v>22</v>
      </c>
      <c r="AA18" s="93" t="s">
        <v>23</v>
      </c>
      <c r="AB18" s="93" t="s">
        <v>24</v>
      </c>
      <c r="AC18" s="93" t="s">
        <v>43</v>
      </c>
      <c r="AD18" s="93" t="s">
        <v>42</v>
      </c>
      <c r="AE18" s="93" t="s">
        <v>25</v>
      </c>
    </row>
    <row r="19" spans="2:31" ht="23.25" thickBot="1" x14ac:dyDescent="0.25">
      <c r="B19" s="99" t="s">
        <v>87</v>
      </c>
      <c r="C19" s="99"/>
      <c r="D19" s="99"/>
      <c r="E19" s="100" t="s">
        <v>194</v>
      </c>
      <c r="F19" s="100"/>
      <c r="G19" s="100"/>
      <c r="H19" s="100"/>
      <c r="I19" s="100"/>
      <c r="J19" s="100"/>
      <c r="K19" s="100"/>
      <c r="L19" s="100"/>
      <c r="M19" s="100" t="s">
        <v>211</v>
      </c>
      <c r="N19" s="101" t="s">
        <v>211</v>
      </c>
      <c r="O19" s="100" t="s">
        <v>108</v>
      </c>
      <c r="P19" s="100"/>
      <c r="Q19" s="100"/>
      <c r="R19" s="100"/>
      <c r="S19" s="100"/>
      <c r="T19" s="100" t="s">
        <v>261</v>
      </c>
      <c r="U19" s="165"/>
      <c r="V19" s="165"/>
      <c r="W19" s="93" t="s">
        <v>81</v>
      </c>
      <c r="X19" s="93"/>
      <c r="Y19" s="93"/>
      <c r="Z19" s="93"/>
      <c r="AA19" s="93"/>
      <c r="AB19" s="93"/>
      <c r="AC19" s="93"/>
      <c r="AD19" s="93"/>
      <c r="AE19" s="93"/>
    </row>
    <row r="20" spans="2:31" x14ac:dyDescent="0.2">
      <c r="B20" s="88" t="str">
        <f>Y$20</f>
        <v>Kiln</v>
      </c>
      <c r="C20" s="88" t="str">
        <f>PRI_Sector_Fuels!O5</f>
        <v>MANCOALMIN</v>
      </c>
      <c r="D20" s="90" t="str">
        <f>Y8</f>
        <v>CEMENTHEAT</v>
      </c>
      <c r="E20" s="105"/>
      <c r="F20" s="102">
        <v>0.59</v>
      </c>
      <c r="G20" s="216"/>
      <c r="H20" s="216"/>
      <c r="I20" s="216"/>
      <c r="J20" s="216"/>
      <c r="K20" s="216"/>
      <c r="L20" s="216"/>
      <c r="M20" s="103">
        <v>0.55000000000000004</v>
      </c>
      <c r="N20" s="103">
        <v>1</v>
      </c>
      <c r="O20" s="124">
        <v>30</v>
      </c>
      <c r="P20" s="124"/>
      <c r="Q20" s="104">
        <v>1414</v>
      </c>
      <c r="R20" s="104"/>
      <c r="S20" s="104">
        <v>8.76</v>
      </c>
      <c r="T20" s="104"/>
      <c r="U20" s="110"/>
      <c r="V20" s="110"/>
      <c r="W20" s="150" t="s">
        <v>231</v>
      </c>
      <c r="Y20" s="88" t="s">
        <v>142</v>
      </c>
      <c r="Z20" s="88" t="s">
        <v>195</v>
      </c>
      <c r="AA20" s="90" t="str">
        <f>$E$2</f>
        <v>GWh</v>
      </c>
      <c r="AB20" s="90" t="s">
        <v>143</v>
      </c>
      <c r="AC20" s="162" t="s">
        <v>204</v>
      </c>
      <c r="AD20" s="162"/>
      <c r="AE20" s="90"/>
    </row>
    <row r="21" spans="2:31" x14ac:dyDescent="0.2">
      <c r="B21" s="88" t="str">
        <f>Y$20</f>
        <v>Kiln</v>
      </c>
      <c r="C21" s="88" t="str">
        <f>PRI_Sector_Fuels!O6</f>
        <v>MANCOALIMP</v>
      </c>
      <c r="D21" s="90" t="str">
        <f>Y$8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4">
        <v>30</v>
      </c>
      <c r="P21" s="124"/>
      <c r="Q21" s="104">
        <v>1515</v>
      </c>
      <c r="R21" s="104"/>
      <c r="S21" s="104">
        <v>8.76</v>
      </c>
      <c r="T21" s="104"/>
      <c r="U21" s="110"/>
      <c r="V21" s="110"/>
      <c r="W21" s="150" t="s">
        <v>231</v>
      </c>
      <c r="Y21" s="88" t="s">
        <v>144</v>
      </c>
      <c r="Z21" s="88" t="s">
        <v>145</v>
      </c>
      <c r="AA21" s="90" t="str">
        <f>$E$2</f>
        <v>GWh</v>
      </c>
      <c r="AB21" s="90" t="s">
        <v>143</v>
      </c>
      <c r="AC21" s="162" t="s">
        <v>204</v>
      </c>
      <c r="AD21" s="162"/>
      <c r="AE21" s="90"/>
    </row>
    <row r="22" spans="2:31" x14ac:dyDescent="0.2">
      <c r="B22" s="88" t="str">
        <f>Y$21</f>
        <v>Boiler</v>
      </c>
      <c r="C22" s="88" t="str">
        <f>PRI_Sector_Fuels!O7</f>
        <v>MANOILIMP</v>
      </c>
      <c r="D22" s="90" t="str">
        <f>Y$5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30</v>
      </c>
      <c r="P22" s="124"/>
      <c r="Q22" s="104">
        <v>1515</v>
      </c>
      <c r="R22" s="104"/>
      <c r="S22" s="104">
        <v>8.76</v>
      </c>
      <c r="T22" s="104"/>
      <c r="U22" s="110"/>
      <c r="V22" s="110"/>
      <c r="W22" s="88" t="s">
        <v>109</v>
      </c>
      <c r="Y22" s="150" t="s">
        <v>152</v>
      </c>
      <c r="Z22" s="88" t="s">
        <v>200</v>
      </c>
      <c r="AA22" s="88" t="s">
        <v>149</v>
      </c>
      <c r="AB22" s="88" t="s">
        <v>143</v>
      </c>
      <c r="AC22" s="156" t="s">
        <v>221</v>
      </c>
    </row>
    <row r="23" spans="2:31" s="146" customFormat="1" x14ac:dyDescent="0.2">
      <c r="B23" s="94" t="str">
        <f>Y22</f>
        <v>MANELC</v>
      </c>
      <c r="C23" s="94" t="str">
        <f>PRI_Sector_Fuels!O8</f>
        <v>ELC</v>
      </c>
      <c r="D23" s="90" t="str">
        <f>Y6</f>
        <v>MANELC</v>
      </c>
      <c r="E23" s="105"/>
      <c r="F23" s="149">
        <v>1</v>
      </c>
      <c r="G23" s="149">
        <v>1</v>
      </c>
      <c r="H23" s="149">
        <v>1</v>
      </c>
      <c r="I23" s="149">
        <v>1</v>
      </c>
      <c r="J23" s="149">
        <v>1</v>
      </c>
      <c r="K23" s="149">
        <v>1</v>
      </c>
      <c r="L23" s="149">
        <v>1</v>
      </c>
      <c r="M23" s="146">
        <v>1</v>
      </c>
      <c r="N23" s="146">
        <v>1</v>
      </c>
      <c r="O23" s="146">
        <v>50</v>
      </c>
      <c r="R23" s="104"/>
      <c r="S23" s="104">
        <v>8.76</v>
      </c>
      <c r="T23" s="104"/>
      <c r="W23" s="146" t="s">
        <v>109</v>
      </c>
      <c r="Y23" s="146" t="s">
        <v>269</v>
      </c>
      <c r="Z23" s="146" t="s">
        <v>225</v>
      </c>
      <c r="AA23" s="88" t="s">
        <v>149</v>
      </c>
      <c r="AB23" s="88" t="s">
        <v>143</v>
      </c>
      <c r="AC23" s="156" t="s">
        <v>221</v>
      </c>
    </row>
    <row r="24" spans="2:31" s="146" customFormat="1" x14ac:dyDescent="0.2">
      <c r="B24" s="94" t="s">
        <v>142</v>
      </c>
      <c r="C24" s="147"/>
      <c r="D24" s="162" t="s">
        <v>258</v>
      </c>
      <c r="E24" s="148"/>
      <c r="F24" s="149"/>
      <c r="G24" s="149"/>
      <c r="H24" s="149"/>
      <c r="I24" s="149"/>
      <c r="J24" s="149"/>
      <c r="K24" s="149"/>
      <c r="L24" s="149"/>
      <c r="R24" s="104"/>
      <c r="S24" s="104"/>
      <c r="T24" s="104">
        <v>0.34100000000000003</v>
      </c>
      <c r="AA24" s="94"/>
      <c r="AB24" s="94"/>
    </row>
    <row r="25" spans="2:31" s="146" customFormat="1" x14ac:dyDescent="0.2">
      <c r="B25" s="94" t="s">
        <v>144</v>
      </c>
      <c r="C25" s="147"/>
      <c r="D25" s="162" t="s">
        <v>258</v>
      </c>
      <c r="E25" s="148"/>
      <c r="F25" s="149"/>
      <c r="G25" s="149"/>
      <c r="H25" s="149"/>
      <c r="I25" s="149"/>
      <c r="J25" s="149"/>
      <c r="K25" s="149"/>
      <c r="L25" s="149"/>
      <c r="R25" s="104"/>
      <c r="S25" s="104"/>
      <c r="T25" s="104">
        <v>0.25900000000000001</v>
      </c>
      <c r="AA25" s="94"/>
      <c r="AB25" s="94"/>
    </row>
    <row r="26" spans="2:31" s="146" customFormat="1" x14ac:dyDescent="0.2">
      <c r="B26" s="94"/>
      <c r="C26" s="147"/>
      <c r="D26" s="162"/>
      <c r="E26" s="148"/>
      <c r="F26" s="149"/>
      <c r="G26" s="149"/>
      <c r="H26" s="149"/>
      <c r="I26" s="149"/>
      <c r="J26" s="149"/>
      <c r="K26" s="149"/>
      <c r="L26" s="149"/>
      <c r="R26" s="110"/>
      <c r="S26" s="110"/>
      <c r="T26" s="110"/>
      <c r="AA26" s="94"/>
      <c r="AB26" s="94"/>
    </row>
    <row r="27" spans="2:31" s="146" customFormat="1" x14ac:dyDescent="0.2">
      <c r="B27" s="94"/>
      <c r="C27" s="147"/>
      <c r="D27" s="162"/>
      <c r="E27" s="148"/>
      <c r="F27" s="149"/>
      <c r="G27" s="149"/>
      <c r="H27" s="149"/>
      <c r="I27" s="149"/>
      <c r="J27" s="149"/>
      <c r="K27" s="149"/>
      <c r="L27" s="149"/>
      <c r="R27" s="110"/>
      <c r="S27" s="110"/>
      <c r="T27" s="110"/>
      <c r="AA27" s="94"/>
      <c r="AB27" s="94"/>
    </row>
    <row r="28" spans="2:31" s="146" customFormat="1" x14ac:dyDescent="0.2">
      <c r="W28" s="146" t="s">
        <v>231</v>
      </c>
      <c r="Y28" s="146" t="s">
        <v>230</v>
      </c>
      <c r="Z28" s="146" t="s">
        <v>229</v>
      </c>
      <c r="AA28" s="94" t="s">
        <v>149</v>
      </c>
      <c r="AB28" s="94" t="s">
        <v>143</v>
      </c>
      <c r="AC28" s="157"/>
    </row>
    <row r="29" spans="2:31" s="146" customFormat="1" x14ac:dyDescent="0.2">
      <c r="AB29" s="94"/>
    </row>
    <row r="30" spans="2:31" s="110" customFormat="1" x14ac:dyDescent="0.2">
      <c r="B30" s="150"/>
      <c r="C30" s="90"/>
      <c r="D30" s="90"/>
      <c r="E30" s="148"/>
      <c r="F30" s="149"/>
      <c r="G30" s="149"/>
      <c r="H30" s="149"/>
      <c r="I30" s="149"/>
      <c r="J30" s="149"/>
      <c r="K30" s="149"/>
      <c r="L30" s="149"/>
      <c r="M30" s="146"/>
      <c r="N30" s="146"/>
      <c r="O30" s="146"/>
      <c r="P30" s="146"/>
      <c r="Q30" s="146"/>
    </row>
    <row r="31" spans="2:31" x14ac:dyDescent="0.2">
      <c r="B31" s="150"/>
      <c r="C31" s="90"/>
      <c r="D31" s="90"/>
      <c r="E31" s="148"/>
      <c r="F31" s="149"/>
      <c r="G31" s="149"/>
      <c r="H31" s="149"/>
      <c r="I31" s="149"/>
      <c r="J31" s="149"/>
      <c r="K31" s="149"/>
      <c r="L31" s="149"/>
      <c r="M31" s="146"/>
      <c r="N31" s="146"/>
      <c r="O31" s="146"/>
      <c r="P31" s="146"/>
      <c r="Q31" s="146"/>
    </row>
    <row r="32" spans="2:31" x14ac:dyDescent="0.2">
      <c r="B32" s="150"/>
      <c r="C32" s="90"/>
      <c r="D32" s="147"/>
      <c r="E32" s="148"/>
      <c r="F32" s="149"/>
      <c r="G32" s="149"/>
      <c r="H32" s="149"/>
      <c r="I32" s="149"/>
      <c r="J32" s="149"/>
      <c r="K32" s="149"/>
      <c r="L32" s="149"/>
      <c r="M32" s="146"/>
      <c r="N32" s="146"/>
      <c r="O32" s="146"/>
      <c r="P32" s="146"/>
      <c r="Q32" s="146"/>
    </row>
    <row r="33" spans="2:29" x14ac:dyDescent="0.2">
      <c r="E33" s="150"/>
      <c r="F33" s="106"/>
      <c r="G33" s="106"/>
      <c r="H33" s="106"/>
      <c r="I33" s="106"/>
      <c r="J33" s="106"/>
      <c r="K33" s="106"/>
      <c r="L33" s="106"/>
      <c r="N33" s="173"/>
      <c r="Q33" s="173"/>
      <c r="AA33" s="90"/>
      <c r="AB33" s="90"/>
      <c r="AC33" s="156"/>
    </row>
    <row r="34" spans="2:29" x14ac:dyDescent="0.2">
      <c r="E34" s="150"/>
      <c r="F34" s="106"/>
      <c r="G34" s="106"/>
      <c r="H34" s="106"/>
      <c r="I34" s="106"/>
      <c r="J34" s="106"/>
      <c r="K34" s="106"/>
      <c r="L34" s="106"/>
      <c r="N34" s="173"/>
      <c r="Q34" s="173"/>
      <c r="X34" s="110"/>
      <c r="Z34" s="110"/>
      <c r="AA34" s="111"/>
      <c r="AB34" s="111"/>
    </row>
    <row r="35" spans="2:29" x14ac:dyDescent="0.2">
      <c r="E35" s="150"/>
      <c r="F35" s="106"/>
      <c r="G35" s="106"/>
      <c r="H35" s="106"/>
      <c r="I35" s="106"/>
      <c r="J35" s="106"/>
      <c r="K35" s="106"/>
      <c r="L35" s="106"/>
      <c r="N35" s="107"/>
      <c r="Q35" s="173"/>
    </row>
    <row r="36" spans="2:29" x14ac:dyDescent="0.2">
      <c r="E36" s="150"/>
      <c r="N36" s="107"/>
      <c r="O36" s="106"/>
      <c r="Q36" s="173"/>
    </row>
    <row r="37" spans="2:29" x14ac:dyDescent="0.2">
      <c r="B37" s="104"/>
      <c r="C37" s="88" t="s">
        <v>97</v>
      </c>
      <c r="N37" s="107"/>
    </row>
    <row r="38" spans="2:29" x14ac:dyDescent="0.2">
      <c r="B38" s="108"/>
      <c r="C38" s="88" t="s">
        <v>98</v>
      </c>
      <c r="N38" s="107"/>
    </row>
    <row r="39" spans="2:29" x14ac:dyDescent="0.2">
      <c r="N39" s="107"/>
    </row>
    <row r="42" spans="2:29" x14ac:dyDescent="0.2">
      <c r="E42" s="21"/>
    </row>
    <row r="45" spans="2:29" x14ac:dyDescent="0.2">
      <c r="B45" s="94" t="str">
        <f>Y28</f>
        <v>PHEAT</v>
      </c>
      <c r="C45" s="147" t="str">
        <f>DemTechs_INDF!D20</f>
        <v>CEMENTHEAT</v>
      </c>
      <c r="D45" s="90" t="str">
        <f>Y10</f>
        <v>MANHEAT</v>
      </c>
      <c r="E45" s="148"/>
      <c r="F45" s="149"/>
      <c r="G45" s="149"/>
      <c r="H45" s="149"/>
      <c r="I45" s="149"/>
      <c r="J45" s="149"/>
      <c r="K45" s="149"/>
      <c r="L45" s="149"/>
      <c r="M45" s="146"/>
      <c r="N45" s="146"/>
      <c r="O45" s="146"/>
      <c r="P45" s="146"/>
      <c r="Q45" s="146"/>
      <c r="R45" s="146"/>
      <c r="S45" s="146">
        <v>8.76</v>
      </c>
    </row>
    <row r="46" spans="2:29" x14ac:dyDescent="0.2">
      <c r="B46" s="94" t="str">
        <f>Y28</f>
        <v>PHEAT</v>
      </c>
      <c r="C46" s="147" t="str">
        <f>D22</f>
        <v>MANHEAT</v>
      </c>
      <c r="D46" s="90" t="str">
        <f>Y10</f>
        <v>MANHEAT</v>
      </c>
      <c r="E46" s="148"/>
      <c r="F46" s="149"/>
      <c r="G46" s="149"/>
      <c r="H46" s="149"/>
      <c r="I46" s="149"/>
      <c r="J46" s="149"/>
      <c r="K46" s="149"/>
      <c r="L46" s="149"/>
      <c r="M46" s="146"/>
      <c r="N46" s="146"/>
      <c r="O46" s="146"/>
      <c r="P46" s="146"/>
      <c r="Q46" s="146"/>
      <c r="R46" s="146"/>
      <c r="S46" s="146">
        <v>8.76</v>
      </c>
    </row>
    <row r="50" spans="6:9" x14ac:dyDescent="0.2">
      <c r="H50" s="214"/>
      <c r="I50" s="215"/>
    </row>
    <row r="53" spans="6:9" x14ac:dyDescent="0.2">
      <c r="G53" s="150"/>
      <c r="I53" s="150"/>
    </row>
    <row r="54" spans="6:9" x14ac:dyDescent="0.2">
      <c r="G54" s="150"/>
    </row>
    <row r="55" spans="6:9" s="94" customFormat="1" x14ac:dyDescent="0.2">
      <c r="H55" s="148"/>
    </row>
    <row r="56" spans="6:9" x14ac:dyDescent="0.2">
      <c r="F56" s="150"/>
      <c r="G56" s="150"/>
    </row>
    <row r="58" spans="6:9" x14ac:dyDescent="0.2">
      <c r="F58" s="150"/>
    </row>
    <row r="59" spans="6:9" x14ac:dyDescent="0.2">
      <c r="F59" s="150"/>
      <c r="H59" s="105"/>
    </row>
  </sheetData>
  <phoneticPr fontId="3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AB59"/>
  <sheetViews>
    <sheetView topLeftCell="A35" zoomScale="226" zoomScaleNormal="226" workbookViewId="0">
      <selection activeCell="AC11" sqref="AC11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11" width="11" bestFit="1" customWidth="1"/>
    <col min="13" max="13" width="22.140625" bestFit="1" customWidth="1"/>
    <col min="15" max="15" width="9" bestFit="1" customWidth="1"/>
    <col min="16" max="16" width="19.140625" bestFit="1" customWidth="1"/>
    <col min="17" max="17" width="10.5703125" bestFit="1" customWidth="1"/>
    <col min="18" max="18" width="12.7109375" bestFit="1" customWidth="1"/>
    <col min="20" max="20" width="9" bestFit="1" customWidth="1"/>
    <col min="22" max="22" width="10.5703125" bestFit="1" customWidth="1"/>
    <col min="23" max="23" width="5.7109375" bestFit="1" customWidth="1"/>
    <col min="25" max="25" width="9" bestFit="1" customWidth="1"/>
    <col min="26" max="26" width="19.140625" bestFit="1" customWidth="1"/>
    <col min="27" max="27" width="10.5703125" bestFit="1" customWidth="1"/>
    <col min="28" max="28" width="5.7109375" bestFit="1" customWidth="1"/>
  </cols>
  <sheetData>
    <row r="1" spans="2:2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28" x14ac:dyDescent="0.2">
      <c r="K3" s="140"/>
    </row>
    <row r="5" spans="2:28" x14ac:dyDescent="0.2">
      <c r="C5" s="115" t="s">
        <v>13</v>
      </c>
      <c r="D5" s="115"/>
      <c r="E5" s="1"/>
    </row>
    <row r="6" spans="2:28" x14ac:dyDescent="0.2">
      <c r="B6" s="114" t="s">
        <v>161</v>
      </c>
      <c r="C6" s="114" t="s">
        <v>0</v>
      </c>
      <c r="D6" s="114" t="s">
        <v>162</v>
      </c>
      <c r="E6" s="114">
        <v>2022</v>
      </c>
      <c r="F6" s="114">
        <v>2025</v>
      </c>
      <c r="G6" s="114">
        <v>2030</v>
      </c>
      <c r="H6" s="114">
        <v>2035</v>
      </c>
      <c r="I6" s="114">
        <v>2040</v>
      </c>
      <c r="J6" s="114">
        <v>2045</v>
      </c>
      <c r="K6" s="114">
        <v>2050</v>
      </c>
      <c r="L6" s="229"/>
      <c r="M6" s="188"/>
      <c r="N6" s="120"/>
      <c r="Q6" s="115" t="s">
        <v>13</v>
      </c>
      <c r="R6" s="1"/>
      <c r="V6" s="115" t="s">
        <v>13</v>
      </c>
      <c r="W6" s="1"/>
      <c r="AA6" s="115" t="s">
        <v>13</v>
      </c>
      <c r="AB6" s="1"/>
    </row>
    <row r="7" spans="2:28" x14ac:dyDescent="0.2">
      <c r="B7" s="117" t="s">
        <v>81</v>
      </c>
      <c r="C7" s="117" t="s">
        <v>163</v>
      </c>
      <c r="D7" s="117" t="s">
        <v>164</v>
      </c>
      <c r="E7" s="117" t="s">
        <v>165</v>
      </c>
      <c r="F7" s="117" t="s">
        <v>165</v>
      </c>
      <c r="G7" s="117" t="s">
        <v>165</v>
      </c>
      <c r="H7" s="117" t="s">
        <v>165</v>
      </c>
      <c r="I7" s="117" t="s">
        <v>165</v>
      </c>
      <c r="J7" s="117" t="s">
        <v>165</v>
      </c>
      <c r="K7" s="117" t="s">
        <v>165</v>
      </c>
      <c r="L7" s="187"/>
      <c r="M7" s="188"/>
      <c r="N7" s="121"/>
      <c r="O7" s="114" t="s">
        <v>161</v>
      </c>
      <c r="P7" s="114" t="s">
        <v>0</v>
      </c>
      <c r="Q7" s="114" t="s">
        <v>167</v>
      </c>
      <c r="R7" s="114">
        <v>2022</v>
      </c>
      <c r="T7" s="114" t="s">
        <v>161</v>
      </c>
      <c r="U7" s="114" t="s">
        <v>0</v>
      </c>
      <c r="V7" s="114" t="s">
        <v>167</v>
      </c>
      <c r="W7" s="114">
        <v>2022</v>
      </c>
      <c r="Y7" s="114" t="s">
        <v>161</v>
      </c>
      <c r="Z7" s="114" t="s">
        <v>0</v>
      </c>
      <c r="AA7" s="114" t="s">
        <v>167</v>
      </c>
      <c r="AB7" s="114">
        <v>2022</v>
      </c>
    </row>
    <row r="8" spans="2:28" ht="13.5" thickBot="1" x14ac:dyDescent="0.25">
      <c r="B8" s="116" t="s">
        <v>87</v>
      </c>
      <c r="C8" s="116"/>
      <c r="D8" s="116"/>
      <c r="E8" s="116" t="s">
        <v>149</v>
      </c>
      <c r="F8" s="116" t="s">
        <v>149</v>
      </c>
      <c r="G8" s="116" t="s">
        <v>149</v>
      </c>
      <c r="H8" s="116" t="s">
        <v>149</v>
      </c>
      <c r="I8" s="116" t="s">
        <v>149</v>
      </c>
      <c r="J8" s="116" t="s">
        <v>149</v>
      </c>
      <c r="K8" s="116" t="s">
        <v>149</v>
      </c>
      <c r="L8" s="187"/>
      <c r="M8" s="188"/>
      <c r="N8" s="121"/>
      <c r="O8" s="123" t="s">
        <v>81</v>
      </c>
      <c r="P8" s="123" t="s">
        <v>163</v>
      </c>
      <c r="Q8" s="123"/>
      <c r="R8" s="123"/>
      <c r="T8" s="123" t="s">
        <v>81</v>
      </c>
      <c r="U8" s="123" t="s">
        <v>163</v>
      </c>
      <c r="V8" s="123"/>
      <c r="W8" s="123"/>
      <c r="Y8" s="123" t="s">
        <v>81</v>
      </c>
      <c r="Z8" s="123" t="s">
        <v>163</v>
      </c>
      <c r="AA8" s="123"/>
      <c r="AB8" s="123"/>
    </row>
    <row r="9" spans="2:28" s="20" customFormat="1" ht="15" thickBot="1" x14ac:dyDescent="0.25">
      <c r="B9" s="186" t="s">
        <v>166</v>
      </c>
      <c r="C9" s="186" t="s">
        <v>227</v>
      </c>
      <c r="D9" s="186" t="s">
        <v>149</v>
      </c>
      <c r="E9" s="47">
        <f>EBF!E18</f>
        <v>2605.1202084096003</v>
      </c>
      <c r="F9" s="222">
        <f>F17*F19</f>
        <v>2947.4068593535344</v>
      </c>
      <c r="G9" s="222">
        <f t="shared" ref="G9:K9" si="0">G17*G19</f>
        <v>3531.3514338177761</v>
      </c>
      <c r="H9" s="222">
        <f t="shared" si="0"/>
        <v>4115.5297575067134</v>
      </c>
      <c r="I9" s="222">
        <f t="shared" si="0"/>
        <v>4687.4763817634248</v>
      </c>
      <c r="J9" s="222">
        <f t="shared" si="0"/>
        <v>5242.5750443827874</v>
      </c>
      <c r="K9" s="222">
        <f t="shared" si="0"/>
        <v>5782.3142883856781</v>
      </c>
      <c r="L9" s="187"/>
      <c r="M9" s="230"/>
      <c r="N9" s="176"/>
      <c r="O9" s="9" t="s">
        <v>87</v>
      </c>
      <c r="P9" s="9"/>
      <c r="Q9" s="9" t="s">
        <v>167</v>
      </c>
      <c r="R9" s="9"/>
      <c r="T9" s="9" t="s">
        <v>87</v>
      </c>
      <c r="U9" s="9"/>
      <c r="V9" s="9" t="s">
        <v>167</v>
      </c>
      <c r="W9" s="9"/>
      <c r="Y9" s="9" t="s">
        <v>87</v>
      </c>
      <c r="Z9" s="9"/>
      <c r="AA9" s="9" t="s">
        <v>167</v>
      </c>
      <c r="AB9" s="9"/>
    </row>
    <row r="10" spans="2:28" s="20" customFormat="1" ht="14.25" x14ac:dyDescent="0.2">
      <c r="B10" s="186" t="s">
        <v>166</v>
      </c>
      <c r="C10" s="186" t="s">
        <v>152</v>
      </c>
      <c r="D10" s="186" t="s">
        <v>149</v>
      </c>
      <c r="E10" s="47">
        <f>EBF!J18</f>
        <v>2861.5612011470998</v>
      </c>
      <c r="F10" s="222">
        <f>F17*F20</f>
        <v>3318.1076531301678</v>
      </c>
      <c r="G10" s="222">
        <f t="shared" ref="G10:K10" si="1">G17*G20</f>
        <v>4142.2574692157614</v>
      </c>
      <c r="H10" s="222">
        <f t="shared" si="1"/>
        <v>5029.9962755546021</v>
      </c>
      <c r="I10" s="222">
        <f t="shared" si="1"/>
        <v>5969.346339495607</v>
      </c>
      <c r="J10" s="222">
        <f t="shared" si="1"/>
        <v>6956.2968729223376</v>
      </c>
      <c r="K10" s="222">
        <f t="shared" si="1"/>
        <v>7994.3086724659179</v>
      </c>
      <c r="L10" s="187"/>
      <c r="M10" s="230"/>
      <c r="N10" s="176"/>
      <c r="O10" s="1" t="s">
        <v>168</v>
      </c>
      <c r="P10" s="1" t="str">
        <f>DemTechs_INDF!Y$6</f>
        <v>MANELC</v>
      </c>
      <c r="Q10" s="150" t="s">
        <v>234</v>
      </c>
      <c r="R10" s="231">
        <v>3.1580002137548593E-2</v>
      </c>
      <c r="S10" s="232"/>
      <c r="T10" s="1" t="s">
        <v>168</v>
      </c>
      <c r="U10" s="1" t="str">
        <f>DemTechs_INDF!Y$5</f>
        <v>MANHEAT</v>
      </c>
      <c r="V10" s="150" t="s">
        <v>234</v>
      </c>
      <c r="W10" s="231">
        <v>3.1580002137548593E-2</v>
      </c>
      <c r="Y10" s="1" t="s">
        <v>168</v>
      </c>
      <c r="Z10" s="1" t="str">
        <f>DemTechs_INDF!Y$8</f>
        <v>CEMENTHEAT</v>
      </c>
      <c r="AA10" s="150" t="s">
        <v>234</v>
      </c>
      <c r="AB10" s="231">
        <v>3.1580002137548593E-2</v>
      </c>
    </row>
    <row r="11" spans="2:28" s="166" customFormat="1" ht="14.25" x14ac:dyDescent="0.2">
      <c r="B11" s="186" t="s">
        <v>166</v>
      </c>
      <c r="C11" s="186" t="s">
        <v>269</v>
      </c>
      <c r="D11" s="186" t="s">
        <v>149</v>
      </c>
      <c r="E11" s="47">
        <f>EBF!D18</f>
        <v>7676.2275585426005</v>
      </c>
      <c r="F11" s="222">
        <f>F17*F21</f>
        <v>10981.845367938809</v>
      </c>
      <c r="G11" s="222">
        <f t="shared" ref="G11:K11" si="2">G17*G21</f>
        <v>19455.852253151803</v>
      </c>
      <c r="H11" s="222">
        <f t="shared" si="2"/>
        <v>33528.116062179717</v>
      </c>
      <c r="I11" s="222">
        <f t="shared" si="2"/>
        <v>56467.242854129028</v>
      </c>
      <c r="J11" s="222">
        <f t="shared" si="2"/>
        <v>93384.808269005094</v>
      </c>
      <c r="K11" s="222">
        <f t="shared" si="2"/>
        <v>152302.6129454516</v>
      </c>
      <c r="L11" s="187"/>
      <c r="M11" s="230"/>
      <c r="N11" s="187"/>
      <c r="O11" s="1" t="s">
        <v>168</v>
      </c>
      <c r="P11" s="1" t="str">
        <f>DemTechs_INDF!Y$6</f>
        <v>MANELC</v>
      </c>
      <c r="Q11" s="212" t="s">
        <v>235</v>
      </c>
      <c r="R11" s="231">
        <v>3.1850630527954941E-2</v>
      </c>
      <c r="S11" s="233"/>
      <c r="T11" s="1" t="s">
        <v>168</v>
      </c>
      <c r="U11" s="1" t="str">
        <f>DemTechs_INDF!Y$5</f>
        <v>MANHEAT</v>
      </c>
      <c r="V11" s="212" t="s">
        <v>235</v>
      </c>
      <c r="W11" s="231">
        <v>3.1850630527954941E-2</v>
      </c>
      <c r="Y11" s="1" t="s">
        <v>168</v>
      </c>
      <c r="Z11" s="1" t="str">
        <f>DemTechs_INDF!Y$8</f>
        <v>CEMENTHEAT</v>
      </c>
      <c r="AA11" s="212" t="s">
        <v>235</v>
      </c>
      <c r="AB11" s="231">
        <v>3.1850630527954941E-2</v>
      </c>
    </row>
    <row r="12" spans="2:28" x14ac:dyDescent="0.2"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87"/>
      <c r="M12" s="188"/>
      <c r="O12" s="1" t="s">
        <v>168</v>
      </c>
      <c r="P12" s="1" t="str">
        <f>DemTechs_INDF!Y$6</f>
        <v>MANELC</v>
      </c>
      <c r="Q12" s="150" t="s">
        <v>236</v>
      </c>
      <c r="R12" s="231">
        <v>3.1481989955747081E-2</v>
      </c>
      <c r="S12" s="220"/>
      <c r="T12" s="1" t="s">
        <v>168</v>
      </c>
      <c r="U12" s="1" t="str">
        <f>DemTechs_INDF!Y$5</f>
        <v>MANHEAT</v>
      </c>
      <c r="V12" s="150" t="s">
        <v>236</v>
      </c>
      <c r="W12" s="231">
        <v>3.1481989955747081E-2</v>
      </c>
      <c r="Y12" s="1" t="s">
        <v>168</v>
      </c>
      <c r="Z12" s="1" t="str">
        <f>DemTechs_INDF!Y$8</f>
        <v>CEMENTHEAT</v>
      </c>
      <c r="AA12" s="150" t="s">
        <v>236</v>
      </c>
      <c r="AB12" s="231">
        <v>3.1481989955747081E-2</v>
      </c>
    </row>
    <row r="13" spans="2:28" x14ac:dyDescent="0.2">
      <c r="B13" s="187"/>
      <c r="C13" s="187"/>
      <c r="D13" s="187"/>
      <c r="E13" s="224"/>
      <c r="F13" s="224"/>
      <c r="G13" s="224"/>
      <c r="H13" s="224"/>
      <c r="I13" s="224"/>
      <c r="J13" s="224"/>
      <c r="K13" s="224"/>
      <c r="L13" s="187"/>
      <c r="M13" s="188"/>
      <c r="O13" s="1" t="s">
        <v>168</v>
      </c>
      <c r="P13" s="1" t="str">
        <f>DemTechs_INDF!Y$6</f>
        <v>MANELC</v>
      </c>
      <c r="Q13" s="212" t="s">
        <v>237</v>
      </c>
      <c r="R13" s="231">
        <v>3.1731466950130557E-2</v>
      </c>
      <c r="S13" s="220"/>
      <c r="T13" s="1" t="s">
        <v>168</v>
      </c>
      <c r="U13" s="1" t="str">
        <f>DemTechs_INDF!Y$5</f>
        <v>MANHEAT</v>
      </c>
      <c r="V13" s="212" t="s">
        <v>237</v>
      </c>
      <c r="W13" s="231">
        <v>3.1731466950130557E-2</v>
      </c>
      <c r="Y13" s="1" t="s">
        <v>168</v>
      </c>
      <c r="Z13" s="1" t="str">
        <f>DemTechs_INDF!Y$8</f>
        <v>CEMENTHEAT</v>
      </c>
      <c r="AA13" s="212" t="s">
        <v>237</v>
      </c>
      <c r="AB13" s="231">
        <v>3.1731466950130557E-2</v>
      </c>
    </row>
    <row r="14" spans="2:28" x14ac:dyDescent="0.2">
      <c r="B14" s="187"/>
      <c r="C14" s="187"/>
      <c r="D14" s="187"/>
      <c r="E14" s="187"/>
      <c r="F14" s="224"/>
      <c r="G14" s="224"/>
      <c r="H14" s="224"/>
      <c r="I14" s="224"/>
      <c r="J14" s="224"/>
      <c r="K14" s="224"/>
      <c r="L14" s="187"/>
      <c r="M14" s="188"/>
      <c r="O14" s="1" t="s">
        <v>168</v>
      </c>
      <c r="P14" s="1" t="str">
        <f>DemTechs_INDF!Y$6</f>
        <v>MANELC</v>
      </c>
      <c r="Q14" s="150" t="s">
        <v>238</v>
      </c>
      <c r="R14" s="231">
        <v>3.1860835358240212E-2</v>
      </c>
      <c r="S14" s="220"/>
      <c r="T14" s="1" t="s">
        <v>168</v>
      </c>
      <c r="U14" s="1" t="str">
        <f>DemTechs_INDF!Y$5</f>
        <v>MANHEAT</v>
      </c>
      <c r="V14" s="150" t="s">
        <v>238</v>
      </c>
      <c r="W14" s="231">
        <v>3.1860835358240212E-2</v>
      </c>
      <c r="Y14" s="1" t="s">
        <v>168</v>
      </c>
      <c r="Z14" s="1" t="str">
        <f>DemTechs_INDF!Y$8</f>
        <v>CEMENTHEAT</v>
      </c>
      <c r="AA14" s="150" t="s">
        <v>238</v>
      </c>
      <c r="AB14" s="231">
        <v>3.1860835358240212E-2</v>
      </c>
    </row>
    <row r="15" spans="2:28" ht="14.25" x14ac:dyDescent="0.2">
      <c r="B15" s="225"/>
      <c r="C15" s="225"/>
      <c r="D15" s="225"/>
      <c r="E15" s="226"/>
      <c r="F15" s="226"/>
      <c r="G15" s="226"/>
      <c r="H15" s="226"/>
      <c r="I15" s="226"/>
      <c r="J15" s="226"/>
      <c r="K15" s="226"/>
      <c r="L15" s="227"/>
      <c r="M15" s="228"/>
      <c r="O15" s="1" t="s">
        <v>168</v>
      </c>
      <c r="P15" s="1" t="str">
        <f>DemTechs_INDF!Y$6</f>
        <v>MANELC</v>
      </c>
      <c r="Q15" s="212" t="s">
        <v>239</v>
      </c>
      <c r="R15" s="231">
        <v>3.2394250106746E-2</v>
      </c>
      <c r="S15" s="220"/>
      <c r="T15" s="1" t="s">
        <v>168</v>
      </c>
      <c r="U15" s="1" t="str">
        <f>DemTechs_INDF!Y$5</f>
        <v>MANHEAT</v>
      </c>
      <c r="V15" s="212" t="s">
        <v>239</v>
      </c>
      <c r="W15" s="231">
        <v>3.2394250106746E-2</v>
      </c>
      <c r="Y15" s="1" t="s">
        <v>168</v>
      </c>
      <c r="Z15" s="1" t="str">
        <f>DemTechs_INDF!Y$8</f>
        <v>CEMENTHEAT</v>
      </c>
      <c r="AA15" s="212" t="s">
        <v>239</v>
      </c>
      <c r="AB15" s="231">
        <v>3.2394250106746E-2</v>
      </c>
    </row>
    <row r="16" spans="2:28" ht="15" x14ac:dyDescent="0.25">
      <c r="B16" s="225"/>
      <c r="C16" s="225"/>
      <c r="D16" s="225"/>
      <c r="E16" s="226"/>
      <c r="F16" s="226"/>
      <c r="G16" s="226"/>
      <c r="H16" s="226"/>
      <c r="I16" s="226"/>
      <c r="J16" s="226"/>
      <c r="K16" s="226"/>
      <c r="L16" s="227"/>
      <c r="M16" s="236" t="s">
        <v>275</v>
      </c>
      <c r="O16" s="1" t="s">
        <v>168</v>
      </c>
      <c r="P16" s="1" t="str">
        <f>DemTechs_INDF!Y$6</f>
        <v>MANELC</v>
      </c>
      <c r="Q16" s="150" t="s">
        <v>240</v>
      </c>
      <c r="R16" s="231">
        <v>3.241825303092484E-2</v>
      </c>
      <c r="S16" s="220"/>
      <c r="T16" s="1" t="s">
        <v>168</v>
      </c>
      <c r="U16" s="1" t="str">
        <f>DemTechs_INDF!Y$5</f>
        <v>MANHEAT</v>
      </c>
      <c r="V16" s="150" t="s">
        <v>240</v>
      </c>
      <c r="W16" s="231">
        <v>3.241825303092484E-2</v>
      </c>
      <c r="Y16" s="1" t="s">
        <v>168</v>
      </c>
      <c r="Z16" s="1" t="str">
        <f>DemTechs_INDF!Y$8</f>
        <v>CEMENTHEAT</v>
      </c>
      <c r="AA16" s="150" t="s">
        <v>240</v>
      </c>
      <c r="AB16" s="231">
        <v>3.241825303092484E-2</v>
      </c>
    </row>
    <row r="17" spans="2:28" x14ac:dyDescent="0.2">
      <c r="D17" t="s">
        <v>273</v>
      </c>
      <c r="E17" s="47">
        <f>E9+E10+E11</f>
        <v>13142.908968099302</v>
      </c>
      <c r="F17" s="221">
        <f t="shared" ref="F17:K17" si="3">$E17*(1+$M17)^(F6-$E6)</f>
        <v>17247.359880422511</v>
      </c>
      <c r="G17" s="221">
        <f t="shared" si="3"/>
        <v>27129.461156185345</v>
      </c>
      <c r="H17" s="221">
        <f t="shared" si="3"/>
        <v>42673.642095241041</v>
      </c>
      <c r="I17" s="221">
        <f t="shared" si="3"/>
        <v>67124.065575388056</v>
      </c>
      <c r="J17" s="221">
        <f t="shared" si="3"/>
        <v>105583.68018631023</v>
      </c>
      <c r="K17" s="221">
        <f t="shared" si="3"/>
        <v>166079.23590630319</v>
      </c>
      <c r="M17" s="234">
        <v>9.4822485813413682E-2</v>
      </c>
      <c r="O17" t="s">
        <v>168</v>
      </c>
      <c r="P17" t="str">
        <f>DemTechs_INDF!Y$6</f>
        <v>MANELC</v>
      </c>
      <c r="Q17" t="s">
        <v>241</v>
      </c>
      <c r="R17" s="231">
        <v>3.5569395862328948E-2</v>
      </c>
      <c r="S17" s="220"/>
      <c r="T17" t="s">
        <v>168</v>
      </c>
      <c r="U17" s="1" t="str">
        <f>DemTechs_INDF!Y$5</f>
        <v>MANHEAT</v>
      </c>
      <c r="V17" t="s">
        <v>241</v>
      </c>
      <c r="W17" s="231">
        <v>3.5569395862328948E-2</v>
      </c>
      <c r="Y17" t="s">
        <v>168</v>
      </c>
      <c r="Z17" s="1" t="str">
        <f>DemTechs_INDF!Y$8</f>
        <v>CEMENTHEAT</v>
      </c>
      <c r="AA17" t="s">
        <v>241</v>
      </c>
      <c r="AB17" s="231">
        <v>3.5569395862328948E-2</v>
      </c>
    </row>
    <row r="18" spans="2:28" ht="13.5" thickBot="1" x14ac:dyDescent="0.25">
      <c r="E18" s="235"/>
      <c r="F18" s="235"/>
      <c r="G18" s="235"/>
      <c r="H18" s="235"/>
      <c r="I18" s="235"/>
      <c r="J18" s="235"/>
      <c r="K18" s="235"/>
      <c r="O18" s="1" t="s">
        <v>168</v>
      </c>
      <c r="P18" s="1" t="str">
        <f>DemTechs_INDF!Y$6</f>
        <v>MANELC</v>
      </c>
      <c r="Q18" s="150" t="s">
        <v>242</v>
      </c>
      <c r="R18" s="231">
        <v>5.0064684062236839E-2</v>
      </c>
      <c r="S18" s="220"/>
      <c r="T18" s="1" t="s">
        <v>168</v>
      </c>
      <c r="U18" s="1" t="str">
        <f>DemTechs_INDF!Y$5</f>
        <v>MANHEAT</v>
      </c>
      <c r="V18" s="150" t="s">
        <v>242</v>
      </c>
      <c r="W18" s="231">
        <v>5.0064684062236839E-2</v>
      </c>
      <c r="Y18" s="1" t="s">
        <v>168</v>
      </c>
      <c r="Z18" s="1" t="str">
        <f>DemTechs_INDF!Y$8</f>
        <v>CEMENTHEAT</v>
      </c>
      <c r="AA18" s="150" t="s">
        <v>242</v>
      </c>
      <c r="AB18" s="231">
        <v>5.0064684062236839E-2</v>
      </c>
    </row>
    <row r="19" spans="2:28" ht="13.5" thickBot="1" x14ac:dyDescent="0.25">
      <c r="B19" s="118"/>
      <c r="C19" s="133" t="s">
        <v>274</v>
      </c>
      <c r="D19" t="s">
        <v>227</v>
      </c>
      <c r="E19" s="234">
        <v>0.19822057738765797</v>
      </c>
      <c r="F19" s="234">
        <v>0.17089032059330644</v>
      </c>
      <c r="G19" s="234">
        <v>0.13016666322591705</v>
      </c>
      <c r="H19" s="234">
        <v>9.6441961722448732E-2</v>
      </c>
      <c r="I19" s="234">
        <v>6.9833022502173214E-2</v>
      </c>
      <c r="J19" s="234">
        <v>4.9653270610873525E-2</v>
      </c>
      <c r="K19" s="234">
        <v>3.4816599780407721E-2</v>
      </c>
      <c r="O19" t="s">
        <v>168</v>
      </c>
      <c r="P19" t="str">
        <f>DemTechs_INDF!Y$6</f>
        <v>MANELC</v>
      </c>
      <c r="Q19" t="s">
        <v>243</v>
      </c>
      <c r="R19" s="231">
        <v>6.1132650490749271E-2</v>
      </c>
      <c r="S19" s="220"/>
      <c r="T19" t="s">
        <v>168</v>
      </c>
      <c r="U19" s="1" t="str">
        <f>DemTechs_INDF!Y$5</f>
        <v>MANHEAT</v>
      </c>
      <c r="V19" t="s">
        <v>243</v>
      </c>
      <c r="W19" s="231">
        <v>6.1132650490749271E-2</v>
      </c>
      <c r="Y19" t="s">
        <v>168</v>
      </c>
      <c r="Z19" s="1" t="str">
        <f>DemTechs_INDF!Y$8</f>
        <v>CEMENTHEAT</v>
      </c>
      <c r="AA19" t="s">
        <v>243</v>
      </c>
      <c r="AB19" s="231">
        <v>6.1132650490749271E-2</v>
      </c>
    </row>
    <row r="20" spans="2:28" ht="13.5" thickBot="1" x14ac:dyDescent="0.25">
      <c r="C20" s="133" t="s">
        <v>274</v>
      </c>
      <c r="D20" t="s">
        <v>152</v>
      </c>
      <c r="E20" s="234">
        <v>0.21771665775440627</v>
      </c>
      <c r="F20" s="234">
        <v>0.19238351122345129</v>
      </c>
      <c r="G20" s="234">
        <v>0.15268484122735157</v>
      </c>
      <c r="H20" s="234">
        <v>0.11787126733472666</v>
      </c>
      <c r="I20" s="234">
        <v>8.8930047492301309E-2</v>
      </c>
      <c r="J20" s="234">
        <v>6.5884205406057411E-2</v>
      </c>
      <c r="K20" s="234">
        <v>4.8135509709209295E-2</v>
      </c>
      <c r="O20" t="s">
        <v>168</v>
      </c>
      <c r="P20" t="str">
        <f>DemTechs_INDF!Y$6</f>
        <v>MANELC</v>
      </c>
      <c r="Q20" t="s">
        <v>244</v>
      </c>
      <c r="R20" s="231">
        <v>6.011628522297266E-2</v>
      </c>
      <c r="S20" s="220"/>
      <c r="T20" t="s">
        <v>168</v>
      </c>
      <c r="U20" s="1" t="str">
        <f>DemTechs_INDF!Y$5</f>
        <v>MANHEAT</v>
      </c>
      <c r="V20" t="s">
        <v>244</v>
      </c>
      <c r="W20" s="231">
        <v>6.011628522297266E-2</v>
      </c>
      <c r="Y20" t="s">
        <v>168</v>
      </c>
      <c r="Z20" s="1" t="str">
        <f>DemTechs_INDF!Y$8</f>
        <v>CEMENTHEAT</v>
      </c>
      <c r="AA20" t="s">
        <v>244</v>
      </c>
      <c r="AB20" s="231">
        <v>6.011628522297266E-2</v>
      </c>
    </row>
    <row r="21" spans="2:28" x14ac:dyDescent="0.2">
      <c r="C21" s="133" t="s">
        <v>274</v>
      </c>
      <c r="D21" t="s">
        <v>269</v>
      </c>
      <c r="E21" s="234">
        <v>0.58406276485793585</v>
      </c>
      <c r="F21" s="234">
        <v>0.63672616818324224</v>
      </c>
      <c r="G21" s="234">
        <v>0.71714849554673121</v>
      </c>
      <c r="H21" s="234">
        <v>0.78568677094282446</v>
      </c>
      <c r="I21" s="234">
        <v>0.84123693000552557</v>
      </c>
      <c r="J21" s="234">
        <v>0.88446252398306902</v>
      </c>
      <c r="K21" s="234">
        <v>0.91704789051038305</v>
      </c>
      <c r="O21" t="s">
        <v>168</v>
      </c>
      <c r="P21" t="str">
        <f>DemTechs_INDF!Y$6</f>
        <v>MANELC</v>
      </c>
      <c r="Q21" t="s">
        <v>245</v>
      </c>
      <c r="R21" s="231">
        <v>6.2041439521472716E-2</v>
      </c>
      <c r="S21" s="220"/>
      <c r="T21" t="s">
        <v>168</v>
      </c>
      <c r="U21" s="1" t="str">
        <f>DemTechs_INDF!Y$5</f>
        <v>MANHEAT</v>
      </c>
      <c r="V21" t="s">
        <v>245</v>
      </c>
      <c r="W21" s="231">
        <v>6.2041439521472716E-2</v>
      </c>
      <c r="Y21" t="s">
        <v>168</v>
      </c>
      <c r="Z21" s="1" t="str">
        <f>DemTechs_INDF!Y$8</f>
        <v>CEMENTHEAT</v>
      </c>
      <c r="AA21" t="s">
        <v>245</v>
      </c>
      <c r="AB21" s="231">
        <v>6.2041439521472716E-2</v>
      </c>
    </row>
    <row r="22" spans="2:28" x14ac:dyDescent="0.2">
      <c r="O22" t="s">
        <v>168</v>
      </c>
      <c r="P22" t="str">
        <f>DemTechs_INDF!Y$6</f>
        <v>MANELC</v>
      </c>
      <c r="Q22" t="s">
        <v>246</v>
      </c>
      <c r="R22" s="231">
        <v>5.0238563001630904E-2</v>
      </c>
      <c r="S22" s="220"/>
      <c r="T22" t="s">
        <v>168</v>
      </c>
      <c r="U22" s="1" t="str">
        <f>DemTechs_INDF!Y$5</f>
        <v>MANHEAT</v>
      </c>
      <c r="V22" t="s">
        <v>246</v>
      </c>
      <c r="W22" s="231">
        <v>5.0238563001630904E-2</v>
      </c>
      <c r="Y22" t="s">
        <v>168</v>
      </c>
      <c r="Z22" s="1" t="str">
        <f>DemTechs_INDF!Y$8</f>
        <v>CEMENTHEAT</v>
      </c>
      <c r="AA22" t="s">
        <v>246</v>
      </c>
      <c r="AB22" s="231">
        <v>5.0238563001630904E-2</v>
      </c>
    </row>
    <row r="23" spans="2:28" x14ac:dyDescent="0.2">
      <c r="E23" s="223"/>
      <c r="F23" s="223"/>
      <c r="G23" s="223"/>
      <c r="H23" s="223"/>
      <c r="I23" s="223"/>
      <c r="J23" s="223"/>
      <c r="K23" s="223"/>
      <c r="O23" t="s">
        <v>168</v>
      </c>
      <c r="P23" t="str">
        <f>DemTechs_INDF!Y$6</f>
        <v>MANELC</v>
      </c>
      <c r="Q23" t="s">
        <v>247</v>
      </c>
      <c r="R23" s="231">
        <v>5.3184386397899165E-2</v>
      </c>
      <c r="S23" s="220"/>
      <c r="T23" t="s">
        <v>168</v>
      </c>
      <c r="U23" s="1" t="str">
        <f>DemTechs_INDF!Y$5</f>
        <v>MANHEAT</v>
      </c>
      <c r="V23" t="s">
        <v>247</v>
      </c>
      <c r="W23" s="231">
        <v>5.3184386397899165E-2</v>
      </c>
      <c r="Y23" t="s">
        <v>168</v>
      </c>
      <c r="Z23" s="1" t="str">
        <f>DemTechs_INDF!Y$8</f>
        <v>CEMENTHEAT</v>
      </c>
      <c r="AA23" t="s">
        <v>247</v>
      </c>
      <c r="AB23" s="231">
        <v>5.3184386397899165E-2</v>
      </c>
    </row>
    <row r="24" spans="2:28" x14ac:dyDescent="0.2">
      <c r="O24" t="s">
        <v>168</v>
      </c>
      <c r="P24" t="str">
        <f>DemTechs_INDF!Y$6</f>
        <v>MANELC</v>
      </c>
      <c r="Q24" t="s">
        <v>248</v>
      </c>
      <c r="R24" s="231">
        <v>5.7662395688403471E-2</v>
      </c>
      <c r="S24" s="220"/>
      <c r="T24" t="s">
        <v>168</v>
      </c>
      <c r="U24" s="1" t="str">
        <f>DemTechs_INDF!Y$5</f>
        <v>MANHEAT</v>
      </c>
      <c r="V24" t="s">
        <v>248</v>
      </c>
      <c r="W24" s="231">
        <v>5.7662395688403471E-2</v>
      </c>
      <c r="Y24" t="s">
        <v>168</v>
      </c>
      <c r="Z24" s="1" t="str">
        <f>DemTechs_INDF!Y$8</f>
        <v>CEMENTHEAT</v>
      </c>
      <c r="AA24" t="s">
        <v>248</v>
      </c>
      <c r="AB24" s="231">
        <v>5.7662395688403471E-2</v>
      </c>
    </row>
    <row r="25" spans="2:28" x14ac:dyDescent="0.2">
      <c r="O25" t="s">
        <v>168</v>
      </c>
      <c r="P25" t="str">
        <f>DemTechs_INDF!Y$6</f>
        <v>MANELC</v>
      </c>
      <c r="Q25" t="s">
        <v>249</v>
      </c>
      <c r="R25" s="231">
        <v>5.8557745224525878E-2</v>
      </c>
      <c r="S25" s="220"/>
      <c r="T25" t="s">
        <v>168</v>
      </c>
      <c r="U25" s="1" t="str">
        <f>DemTechs_INDF!Y$5</f>
        <v>MANHEAT</v>
      </c>
      <c r="V25" t="s">
        <v>249</v>
      </c>
      <c r="W25" s="231">
        <v>5.8557745224525878E-2</v>
      </c>
      <c r="Y25" t="s">
        <v>168</v>
      </c>
      <c r="Z25" s="1" t="str">
        <f>DemTechs_INDF!Y$8</f>
        <v>CEMENTHEAT</v>
      </c>
      <c r="AA25" t="s">
        <v>249</v>
      </c>
      <c r="AB25" s="231">
        <v>5.8557745224525878E-2</v>
      </c>
    </row>
    <row r="26" spans="2:28" x14ac:dyDescent="0.2">
      <c r="D26" s="109"/>
      <c r="E26" s="172"/>
      <c r="F26" s="172"/>
      <c r="G26" s="172"/>
      <c r="H26" s="172"/>
      <c r="I26" s="172"/>
      <c r="J26" s="172"/>
      <c r="K26" s="172"/>
      <c r="O26" t="s">
        <v>168</v>
      </c>
      <c r="P26" t="str">
        <f>DemTechs_INDF!Y$6</f>
        <v>MANELC</v>
      </c>
      <c r="Q26" t="s">
        <v>250</v>
      </c>
      <c r="R26" s="231">
        <v>5.4169812257972488E-2</v>
      </c>
      <c r="S26" s="220"/>
      <c r="T26" t="s">
        <v>168</v>
      </c>
      <c r="U26" s="1" t="str">
        <f>DemTechs_INDF!Y$5</f>
        <v>MANHEAT</v>
      </c>
      <c r="V26" t="s">
        <v>250</v>
      </c>
      <c r="W26" s="231">
        <v>5.4169812257972488E-2</v>
      </c>
      <c r="Y26" t="s">
        <v>168</v>
      </c>
      <c r="Z26" s="1" t="str">
        <f>DemTechs_INDF!Y$8</f>
        <v>CEMENTHEAT</v>
      </c>
      <c r="AA26" t="s">
        <v>250</v>
      </c>
      <c r="AB26" s="231">
        <v>5.4169812257972488E-2</v>
      </c>
    </row>
    <row r="27" spans="2:28" x14ac:dyDescent="0.2">
      <c r="D27" s="109"/>
      <c r="E27" s="5"/>
      <c r="O27" t="s">
        <v>168</v>
      </c>
      <c r="P27" t="str">
        <f>DemTechs_INDF!Y$6</f>
        <v>MANELC</v>
      </c>
      <c r="Q27" t="s">
        <v>251</v>
      </c>
      <c r="R27" s="231">
        <v>4.1857004866670537E-2</v>
      </c>
      <c r="S27" s="220"/>
      <c r="T27" t="s">
        <v>168</v>
      </c>
      <c r="U27" s="1" t="str">
        <f>DemTechs_INDF!Y$5</f>
        <v>MANHEAT</v>
      </c>
      <c r="V27" t="s">
        <v>251</v>
      </c>
      <c r="W27" s="231">
        <v>4.1857004866670537E-2</v>
      </c>
      <c r="Y27" t="s">
        <v>168</v>
      </c>
      <c r="Z27" s="1" t="str">
        <f>DemTechs_INDF!Y$8</f>
        <v>CEMENTHEAT</v>
      </c>
      <c r="AA27" t="s">
        <v>251</v>
      </c>
      <c r="AB27" s="231">
        <v>4.1857004866670537E-2</v>
      </c>
    </row>
    <row r="28" spans="2:28" x14ac:dyDescent="0.2">
      <c r="D28" s="109"/>
      <c r="E28" s="109"/>
      <c r="F28" s="109"/>
      <c r="G28" s="109"/>
      <c r="H28" s="109"/>
      <c r="I28" s="109"/>
      <c r="J28" s="109"/>
      <c r="K28" s="109"/>
      <c r="O28" t="s">
        <v>168</v>
      </c>
      <c r="P28" t="str">
        <f>DemTechs_INDF!Y$6</f>
        <v>MANELC</v>
      </c>
      <c r="Q28" t="s">
        <v>252</v>
      </c>
      <c r="R28" s="231">
        <v>3.3691520594468241E-2</v>
      </c>
      <c r="S28" s="220"/>
      <c r="T28" t="s">
        <v>168</v>
      </c>
      <c r="U28" s="1" t="str">
        <f>DemTechs_INDF!Y$5</f>
        <v>MANHEAT</v>
      </c>
      <c r="V28" t="s">
        <v>252</v>
      </c>
      <c r="W28" s="231">
        <v>3.3691520594468241E-2</v>
      </c>
      <c r="Y28" t="s">
        <v>168</v>
      </c>
      <c r="Z28" s="1" t="str">
        <f>DemTechs_INDF!Y$8</f>
        <v>CEMENTHEAT</v>
      </c>
      <c r="AA28" t="s">
        <v>252</v>
      </c>
      <c r="AB28" s="231">
        <v>3.3691520594468241E-2</v>
      </c>
    </row>
    <row r="29" spans="2:28" x14ac:dyDescent="0.2">
      <c r="D29" s="109"/>
      <c r="E29" s="109"/>
      <c r="F29" s="109"/>
      <c r="G29" s="109"/>
      <c r="H29" s="109"/>
      <c r="I29" s="109"/>
      <c r="J29" s="109"/>
      <c r="K29" s="109"/>
      <c r="O29" t="s">
        <v>168</v>
      </c>
      <c r="P29" t="str">
        <f>DemTechs_INDF!Y$6</f>
        <v>MANELC</v>
      </c>
      <c r="Q29" t="s">
        <v>253</v>
      </c>
      <c r="R29" s="231">
        <v>3.2906492752302938E-2</v>
      </c>
      <c r="S29" s="220"/>
      <c r="T29" t="s">
        <v>168</v>
      </c>
      <c r="U29" s="1" t="str">
        <f>DemTechs_INDF!Y$5</f>
        <v>MANHEAT</v>
      </c>
      <c r="V29" t="s">
        <v>253</v>
      </c>
      <c r="W29" s="231">
        <v>3.2906492752302938E-2</v>
      </c>
      <c r="Y29" t="s">
        <v>168</v>
      </c>
      <c r="Z29" s="1" t="str">
        <f>DemTechs_INDF!Y$8</f>
        <v>CEMENTHEAT</v>
      </c>
      <c r="AA29" t="s">
        <v>253</v>
      </c>
      <c r="AB29" s="231">
        <v>3.2906492752302938E-2</v>
      </c>
    </row>
    <row r="30" spans="2:28" x14ac:dyDescent="0.2">
      <c r="O30" s="1" t="s">
        <v>168</v>
      </c>
      <c r="P30" s="1" t="str">
        <f>DemTechs_INDF!Y$6</f>
        <v>MANELC</v>
      </c>
      <c r="Q30" s="150" t="s">
        <v>254</v>
      </c>
      <c r="R30" s="231">
        <v>3.20626233861286E-2</v>
      </c>
      <c r="S30" s="220"/>
      <c r="T30" s="1" t="s">
        <v>168</v>
      </c>
      <c r="U30" s="1" t="str">
        <f>DemTechs_INDF!Y$5</f>
        <v>MANHEAT</v>
      </c>
      <c r="V30" s="150" t="s">
        <v>254</v>
      </c>
      <c r="W30" s="231">
        <v>3.20626233861286E-2</v>
      </c>
      <c r="Y30" s="1" t="s">
        <v>168</v>
      </c>
      <c r="Z30" s="1" t="str">
        <f>DemTechs_INDF!Y$8</f>
        <v>CEMENTHEAT</v>
      </c>
      <c r="AA30" s="150" t="s">
        <v>254</v>
      </c>
      <c r="AB30" s="231">
        <v>3.20626233861286E-2</v>
      </c>
    </row>
    <row r="31" spans="2:28" x14ac:dyDescent="0.2">
      <c r="O31" s="1" t="s">
        <v>168</v>
      </c>
      <c r="P31" s="1" t="str">
        <f>DemTechs_INDF!Y$6</f>
        <v>MANELC</v>
      </c>
      <c r="Q31" s="212" t="s">
        <v>255</v>
      </c>
      <c r="R31" s="231">
        <v>3.1700774081405016E-2</v>
      </c>
      <c r="S31" s="220"/>
      <c r="T31" s="1" t="s">
        <v>168</v>
      </c>
      <c r="U31" s="1" t="str">
        <f>DemTechs_INDF!Y$5</f>
        <v>MANHEAT</v>
      </c>
      <c r="V31" s="212" t="s">
        <v>255</v>
      </c>
      <c r="W31" s="231">
        <v>3.1700774081405016E-2</v>
      </c>
      <c r="Y31" s="1" t="s">
        <v>168</v>
      </c>
      <c r="Z31" s="1" t="str">
        <f>DemTechs_INDF!Y$8</f>
        <v>CEMENTHEAT</v>
      </c>
      <c r="AA31" s="212" t="s">
        <v>255</v>
      </c>
      <c r="AB31" s="231">
        <v>3.1700774081405016E-2</v>
      </c>
    </row>
    <row r="32" spans="2:28" x14ac:dyDescent="0.2">
      <c r="E32" s="5">
        <f>EBF!J19</f>
        <v>150.60848427090019</v>
      </c>
      <c r="O32" s="1" t="s">
        <v>168</v>
      </c>
      <c r="P32" s="1" t="str">
        <f>DemTechs_INDF!Y$6</f>
        <v>MANELC</v>
      </c>
      <c r="Q32" s="150" t="s">
        <v>256</v>
      </c>
      <c r="R32" s="231">
        <v>3.0548494068914959E-2</v>
      </c>
      <c r="S32" s="220"/>
      <c r="T32" s="1" t="s">
        <v>168</v>
      </c>
      <c r="U32" s="1" t="str">
        <f>DemTechs_INDF!Y$5</f>
        <v>MANHEAT</v>
      </c>
      <c r="V32" s="150" t="s">
        <v>256</v>
      </c>
      <c r="W32" s="231">
        <v>3.0548494068914959E-2</v>
      </c>
      <c r="Y32" s="1" t="s">
        <v>168</v>
      </c>
      <c r="Z32" s="1" t="str">
        <f>DemTechs_INDF!Y$8</f>
        <v>CEMENTHEAT</v>
      </c>
      <c r="AA32" s="150" t="s">
        <v>256</v>
      </c>
      <c r="AB32" s="231">
        <v>3.0548494068914959E-2</v>
      </c>
    </row>
    <row r="33" spans="2:28" x14ac:dyDescent="0.2">
      <c r="B33" s="1"/>
      <c r="E33" s="5">
        <f>EBF!E19</f>
        <v>8781.4640358504003</v>
      </c>
      <c r="O33" s="1" t="s">
        <v>168</v>
      </c>
      <c r="P33" s="1" t="str">
        <f>DemTechs_INDF!Y$6</f>
        <v>MANELC</v>
      </c>
      <c r="Q33" s="212" t="s">
        <v>257</v>
      </c>
      <c r="R33" s="231">
        <v>3.117830445262517E-2</v>
      </c>
      <c r="S33" s="220"/>
      <c r="T33" s="1" t="s">
        <v>168</v>
      </c>
      <c r="U33" s="1" t="str">
        <f>DemTechs_INDF!Y$5</f>
        <v>MANHEAT</v>
      </c>
      <c r="V33" s="212" t="s">
        <v>257</v>
      </c>
      <c r="W33" s="231">
        <v>3.117830445262517E-2</v>
      </c>
      <c r="Y33" s="1" t="s">
        <v>168</v>
      </c>
      <c r="Z33" s="1" t="str">
        <f>DemTechs_INDF!Y$8</f>
        <v>CEMENTHEAT</v>
      </c>
      <c r="AA33" s="212" t="s">
        <v>257</v>
      </c>
      <c r="AB33" s="231">
        <v>3.117830445262517E-2</v>
      </c>
    </row>
    <row r="34" spans="2:28" x14ac:dyDescent="0.2">
      <c r="B34" s="1"/>
      <c r="O34" s="1" t="s">
        <v>168</v>
      </c>
      <c r="P34" s="1" t="str">
        <f>DemTechs_INDF!Y$6</f>
        <v>MANELC</v>
      </c>
      <c r="Q34" t="s">
        <v>169</v>
      </c>
      <c r="R34" s="231">
        <v>3.1580002137548593E-2</v>
      </c>
      <c r="T34" s="1" t="s">
        <v>168</v>
      </c>
      <c r="U34" s="1" t="str">
        <f>DemTechs_INDF!Y$5</f>
        <v>MANHEAT</v>
      </c>
      <c r="V34" t="s">
        <v>169</v>
      </c>
      <c r="W34" s="231">
        <v>3.1580002137548593E-2</v>
      </c>
      <c r="Y34" s="1" t="s">
        <v>168</v>
      </c>
      <c r="Z34" s="1" t="str">
        <f>DemTechs_INDF!Y$8</f>
        <v>CEMENTHEAT</v>
      </c>
      <c r="AA34" t="s">
        <v>169</v>
      </c>
      <c r="AB34" s="231">
        <v>3.1580002137548593E-2</v>
      </c>
    </row>
    <row r="35" spans="2:28" x14ac:dyDescent="0.2">
      <c r="O35" s="1" t="s">
        <v>168</v>
      </c>
      <c r="P35" s="1" t="str">
        <f>DemTechs_INDF!Y$6</f>
        <v>MANELC</v>
      </c>
      <c r="Q35" t="s">
        <v>170</v>
      </c>
      <c r="R35" s="231">
        <v>3.1850630527954941E-2</v>
      </c>
      <c r="T35" s="1" t="s">
        <v>168</v>
      </c>
      <c r="U35" s="1" t="str">
        <f>DemTechs_INDF!Y$5</f>
        <v>MANHEAT</v>
      </c>
      <c r="V35" t="s">
        <v>170</v>
      </c>
      <c r="W35" s="231">
        <v>3.1850630527954941E-2</v>
      </c>
      <c r="Y35" s="1" t="s">
        <v>168</v>
      </c>
      <c r="Z35" s="1" t="str">
        <f>DemTechs_INDF!Y$8</f>
        <v>CEMENTHEAT</v>
      </c>
      <c r="AA35" t="s">
        <v>170</v>
      </c>
      <c r="AB35" s="231">
        <v>3.1850630527954941E-2</v>
      </c>
    </row>
    <row r="36" spans="2:28" x14ac:dyDescent="0.2">
      <c r="B36" s="119"/>
      <c r="C36" s="1" t="s">
        <v>97</v>
      </c>
      <c r="O36" s="1" t="s">
        <v>168</v>
      </c>
      <c r="P36" s="1" t="str">
        <f>DemTechs_INDF!Y$6</f>
        <v>MANELC</v>
      </c>
      <c r="Q36" t="s">
        <v>171</v>
      </c>
      <c r="R36" s="231">
        <v>3.1481989955747081E-2</v>
      </c>
      <c r="T36" s="1" t="s">
        <v>168</v>
      </c>
      <c r="U36" s="1" t="str">
        <f>DemTechs_INDF!Y$5</f>
        <v>MANHEAT</v>
      </c>
      <c r="V36" t="s">
        <v>171</v>
      </c>
      <c r="W36" s="231">
        <v>3.1481989955747081E-2</v>
      </c>
      <c r="Y36" s="1" t="s">
        <v>168</v>
      </c>
      <c r="Z36" s="1" t="str">
        <f>DemTechs_INDF!Y$8</f>
        <v>CEMENTHEAT</v>
      </c>
      <c r="AA36" t="s">
        <v>171</v>
      </c>
      <c r="AB36" s="231">
        <v>3.1481989955747081E-2</v>
      </c>
    </row>
    <row r="37" spans="2:28" x14ac:dyDescent="0.2">
      <c r="B37" s="47"/>
      <c r="C37" s="1" t="s">
        <v>98</v>
      </c>
      <c r="O37" s="1" t="s">
        <v>168</v>
      </c>
      <c r="P37" s="1" t="str">
        <f>DemTechs_INDF!Y$6</f>
        <v>MANELC</v>
      </c>
      <c r="Q37" t="s">
        <v>172</v>
      </c>
      <c r="R37" s="231">
        <v>3.1731466950130557E-2</v>
      </c>
      <c r="T37" s="1" t="s">
        <v>168</v>
      </c>
      <c r="U37" s="1" t="str">
        <f>DemTechs_INDF!Y$5</f>
        <v>MANHEAT</v>
      </c>
      <c r="V37" t="s">
        <v>172</v>
      </c>
      <c r="W37" s="231">
        <v>3.1731466950130557E-2</v>
      </c>
      <c r="Y37" s="1" t="s">
        <v>168</v>
      </c>
      <c r="Z37" s="1" t="str">
        <f>DemTechs_INDF!Y$8</f>
        <v>CEMENTHEAT</v>
      </c>
      <c r="AA37" t="s">
        <v>172</v>
      </c>
      <c r="AB37" s="231">
        <v>3.1731466950130557E-2</v>
      </c>
    </row>
    <row r="38" spans="2:28" x14ac:dyDescent="0.2">
      <c r="O38" s="1" t="s">
        <v>168</v>
      </c>
      <c r="P38" s="1" t="str">
        <f>DemTechs_INDF!Y$6</f>
        <v>MANELC</v>
      </c>
      <c r="Q38" t="s">
        <v>173</v>
      </c>
      <c r="R38" s="231">
        <v>3.1860835358240212E-2</v>
      </c>
      <c r="T38" s="1" t="s">
        <v>168</v>
      </c>
      <c r="U38" s="1" t="str">
        <f>DemTechs_INDF!Y$5</f>
        <v>MANHEAT</v>
      </c>
      <c r="V38" t="s">
        <v>173</v>
      </c>
      <c r="W38" s="231">
        <v>3.1860835358240212E-2</v>
      </c>
      <c r="Y38" s="1" t="s">
        <v>168</v>
      </c>
      <c r="Z38" s="1" t="str">
        <f>DemTechs_INDF!Y$8</f>
        <v>CEMENTHEAT</v>
      </c>
      <c r="AA38" t="s">
        <v>173</v>
      </c>
      <c r="AB38" s="231">
        <v>3.1860835358240212E-2</v>
      </c>
    </row>
    <row r="39" spans="2:28" x14ac:dyDescent="0.2">
      <c r="O39" s="1" t="s">
        <v>168</v>
      </c>
      <c r="P39" s="1" t="str">
        <f>DemTechs_INDF!Y$6</f>
        <v>MANELC</v>
      </c>
      <c r="Q39" t="s">
        <v>174</v>
      </c>
      <c r="R39" s="231">
        <v>3.2394250106746E-2</v>
      </c>
      <c r="T39" s="1" t="s">
        <v>168</v>
      </c>
      <c r="U39" s="1" t="str">
        <f>DemTechs_INDF!Y$5</f>
        <v>MANHEAT</v>
      </c>
      <c r="V39" t="s">
        <v>174</v>
      </c>
      <c r="W39" s="231">
        <v>3.2394250106746E-2</v>
      </c>
      <c r="Y39" s="1" t="s">
        <v>168</v>
      </c>
      <c r="Z39" s="1" t="str">
        <f>DemTechs_INDF!Y$8</f>
        <v>CEMENTHEAT</v>
      </c>
      <c r="AA39" t="s">
        <v>174</v>
      </c>
      <c r="AB39" s="231">
        <v>3.2394250106746E-2</v>
      </c>
    </row>
    <row r="40" spans="2:28" x14ac:dyDescent="0.2">
      <c r="O40" s="1" t="s">
        <v>168</v>
      </c>
      <c r="P40" s="1" t="str">
        <f>DemTechs_INDF!Y$6</f>
        <v>MANELC</v>
      </c>
      <c r="Q40" t="s">
        <v>175</v>
      </c>
      <c r="R40" s="231">
        <v>3.241825303092484E-2</v>
      </c>
      <c r="T40" s="1" t="s">
        <v>168</v>
      </c>
      <c r="U40" s="1" t="str">
        <f>DemTechs_INDF!Y$5</f>
        <v>MANHEAT</v>
      </c>
      <c r="V40" t="s">
        <v>175</v>
      </c>
      <c r="W40" s="231">
        <v>3.241825303092484E-2</v>
      </c>
      <c r="Y40" s="1" t="s">
        <v>168</v>
      </c>
      <c r="Z40" s="1" t="str">
        <f>DemTechs_INDF!Y$8</f>
        <v>CEMENTHEAT</v>
      </c>
      <c r="AA40" t="s">
        <v>175</v>
      </c>
      <c r="AB40" s="231">
        <v>3.241825303092484E-2</v>
      </c>
    </row>
    <row r="41" spans="2:28" x14ac:dyDescent="0.2">
      <c r="O41" s="1" t="s">
        <v>168</v>
      </c>
      <c r="P41" s="1" t="str">
        <f>DemTechs_INDF!Y$6</f>
        <v>MANELC</v>
      </c>
      <c r="Q41" t="s">
        <v>176</v>
      </c>
      <c r="R41" s="231">
        <v>3.5569395862328948E-2</v>
      </c>
      <c r="T41" s="1" t="s">
        <v>168</v>
      </c>
      <c r="U41" s="1" t="str">
        <f>DemTechs_INDF!Y$5</f>
        <v>MANHEAT</v>
      </c>
      <c r="V41" t="s">
        <v>176</v>
      </c>
      <c r="W41" s="231">
        <v>3.5569395862328948E-2</v>
      </c>
      <c r="Y41" s="1" t="s">
        <v>168</v>
      </c>
      <c r="Z41" s="1" t="str">
        <f>DemTechs_INDF!Y$8</f>
        <v>CEMENTHEAT</v>
      </c>
      <c r="AA41" t="s">
        <v>176</v>
      </c>
      <c r="AB41" s="231">
        <v>3.5569395862328948E-2</v>
      </c>
    </row>
    <row r="42" spans="2:28" x14ac:dyDescent="0.2">
      <c r="O42" s="1" t="s">
        <v>168</v>
      </c>
      <c r="P42" s="1" t="str">
        <f>DemTechs_INDF!Y$6</f>
        <v>MANELC</v>
      </c>
      <c r="Q42" t="s">
        <v>177</v>
      </c>
      <c r="R42" s="231">
        <v>5.0064684062236839E-2</v>
      </c>
      <c r="T42" s="1" t="s">
        <v>168</v>
      </c>
      <c r="U42" s="1" t="str">
        <f>DemTechs_INDF!Y$5</f>
        <v>MANHEAT</v>
      </c>
      <c r="V42" t="s">
        <v>177</v>
      </c>
      <c r="W42" s="231">
        <v>5.0064684062236839E-2</v>
      </c>
      <c r="Y42" s="1" t="s">
        <v>168</v>
      </c>
      <c r="Z42" s="1" t="str">
        <f>DemTechs_INDF!Y$8</f>
        <v>CEMENTHEAT</v>
      </c>
      <c r="AA42" t="s">
        <v>177</v>
      </c>
      <c r="AB42" s="231">
        <v>5.0064684062236839E-2</v>
      </c>
    </row>
    <row r="43" spans="2:28" x14ac:dyDescent="0.2">
      <c r="O43" s="1" t="s">
        <v>168</v>
      </c>
      <c r="P43" s="1" t="str">
        <f>DemTechs_INDF!Y$6</f>
        <v>MANELC</v>
      </c>
      <c r="Q43" t="s">
        <v>178</v>
      </c>
      <c r="R43" s="231">
        <v>6.1132650490749271E-2</v>
      </c>
      <c r="T43" s="1" t="s">
        <v>168</v>
      </c>
      <c r="U43" s="1" t="str">
        <f>DemTechs_INDF!Y$5</f>
        <v>MANHEAT</v>
      </c>
      <c r="V43" t="s">
        <v>178</v>
      </c>
      <c r="W43" s="231">
        <v>6.1132650490749271E-2</v>
      </c>
      <c r="Y43" s="1" t="s">
        <v>168</v>
      </c>
      <c r="Z43" s="1" t="str">
        <f>DemTechs_INDF!Y$8</f>
        <v>CEMENTHEAT</v>
      </c>
      <c r="AA43" t="s">
        <v>178</v>
      </c>
      <c r="AB43" s="231">
        <v>6.1132650490749271E-2</v>
      </c>
    </row>
    <row r="44" spans="2:28" x14ac:dyDescent="0.2">
      <c r="O44" s="1" t="s">
        <v>168</v>
      </c>
      <c r="P44" s="1" t="str">
        <f>DemTechs_INDF!Y$6</f>
        <v>MANELC</v>
      </c>
      <c r="Q44" t="s">
        <v>179</v>
      </c>
      <c r="R44" s="231">
        <v>6.011628522297266E-2</v>
      </c>
      <c r="T44" s="1" t="s">
        <v>168</v>
      </c>
      <c r="U44" s="1" t="str">
        <f>DemTechs_INDF!Y$5</f>
        <v>MANHEAT</v>
      </c>
      <c r="V44" t="s">
        <v>179</v>
      </c>
      <c r="W44" s="231">
        <v>6.011628522297266E-2</v>
      </c>
      <c r="Y44" s="1" t="s">
        <v>168</v>
      </c>
      <c r="Z44" s="1" t="str">
        <f>DemTechs_INDF!Y$8</f>
        <v>CEMENTHEAT</v>
      </c>
      <c r="AA44" t="s">
        <v>179</v>
      </c>
      <c r="AB44" s="231">
        <v>6.011628522297266E-2</v>
      </c>
    </row>
    <row r="45" spans="2:28" x14ac:dyDescent="0.2">
      <c r="O45" s="1" t="s">
        <v>168</v>
      </c>
      <c r="P45" s="1" t="str">
        <f>DemTechs_INDF!Y$6</f>
        <v>MANELC</v>
      </c>
      <c r="Q45" t="s">
        <v>180</v>
      </c>
      <c r="R45" s="231">
        <v>6.2041439521472716E-2</v>
      </c>
      <c r="T45" s="1" t="s">
        <v>168</v>
      </c>
      <c r="U45" s="1" t="str">
        <f>DemTechs_INDF!Y$5</f>
        <v>MANHEAT</v>
      </c>
      <c r="V45" t="s">
        <v>180</v>
      </c>
      <c r="W45" s="231">
        <v>6.2041439521472716E-2</v>
      </c>
      <c r="Y45" s="1" t="s">
        <v>168</v>
      </c>
      <c r="Z45" s="1" t="str">
        <f>DemTechs_INDF!Y$8</f>
        <v>CEMENTHEAT</v>
      </c>
      <c r="AA45" t="s">
        <v>180</v>
      </c>
      <c r="AB45" s="231">
        <v>6.2041439521472716E-2</v>
      </c>
    </row>
    <row r="46" spans="2:28" x14ac:dyDescent="0.2">
      <c r="O46" s="1" t="s">
        <v>168</v>
      </c>
      <c r="P46" s="1" t="str">
        <f>DemTechs_INDF!Y$6</f>
        <v>MANELC</v>
      </c>
      <c r="Q46" t="s">
        <v>181</v>
      </c>
      <c r="R46" s="231">
        <v>5.0238563001630904E-2</v>
      </c>
      <c r="T46" s="1" t="s">
        <v>168</v>
      </c>
      <c r="U46" s="1" t="str">
        <f>DemTechs_INDF!Y$5</f>
        <v>MANHEAT</v>
      </c>
      <c r="V46" t="s">
        <v>181</v>
      </c>
      <c r="W46" s="231">
        <v>5.0238563001630904E-2</v>
      </c>
      <c r="Y46" s="1" t="s">
        <v>168</v>
      </c>
      <c r="Z46" s="1" t="str">
        <f>DemTechs_INDF!Y$8</f>
        <v>CEMENTHEAT</v>
      </c>
      <c r="AA46" t="s">
        <v>181</v>
      </c>
      <c r="AB46" s="231">
        <v>5.0238563001630904E-2</v>
      </c>
    </row>
    <row r="47" spans="2:28" x14ac:dyDescent="0.2">
      <c r="O47" s="1" t="s">
        <v>168</v>
      </c>
      <c r="P47" s="1" t="str">
        <f>DemTechs_INDF!Y$6</f>
        <v>MANELC</v>
      </c>
      <c r="Q47" t="s">
        <v>182</v>
      </c>
      <c r="R47" s="231">
        <v>5.3184386397899165E-2</v>
      </c>
      <c r="T47" s="1" t="s">
        <v>168</v>
      </c>
      <c r="U47" s="1" t="str">
        <f>DemTechs_INDF!Y$5</f>
        <v>MANHEAT</v>
      </c>
      <c r="V47" t="s">
        <v>182</v>
      </c>
      <c r="W47" s="231">
        <v>5.3184386397899165E-2</v>
      </c>
      <c r="Y47" s="1" t="s">
        <v>168</v>
      </c>
      <c r="Z47" s="1" t="str">
        <f>DemTechs_INDF!Y$8</f>
        <v>CEMENTHEAT</v>
      </c>
      <c r="AA47" t="s">
        <v>182</v>
      </c>
      <c r="AB47" s="231">
        <v>5.3184386397899165E-2</v>
      </c>
    </row>
    <row r="48" spans="2:28" x14ac:dyDescent="0.2">
      <c r="O48" s="1" t="s">
        <v>168</v>
      </c>
      <c r="P48" s="1" t="str">
        <f>DemTechs_INDF!Y$6</f>
        <v>MANELC</v>
      </c>
      <c r="Q48" t="s">
        <v>183</v>
      </c>
      <c r="R48" s="231">
        <v>5.7662395688403471E-2</v>
      </c>
      <c r="T48" s="1" t="s">
        <v>168</v>
      </c>
      <c r="U48" s="1" t="str">
        <f>DemTechs_INDF!Y$5</f>
        <v>MANHEAT</v>
      </c>
      <c r="V48" t="s">
        <v>183</v>
      </c>
      <c r="W48" s="231">
        <v>5.7662395688403471E-2</v>
      </c>
      <c r="Y48" s="1" t="s">
        <v>168</v>
      </c>
      <c r="Z48" s="1" t="str">
        <f>DemTechs_INDF!Y$8</f>
        <v>CEMENTHEAT</v>
      </c>
      <c r="AA48" t="s">
        <v>183</v>
      </c>
      <c r="AB48" s="231">
        <v>5.7662395688403471E-2</v>
      </c>
    </row>
    <row r="49" spans="15:28" x14ac:dyDescent="0.2">
      <c r="O49" s="1" t="s">
        <v>168</v>
      </c>
      <c r="P49" s="1" t="str">
        <f>DemTechs_INDF!Y$6</f>
        <v>MANELC</v>
      </c>
      <c r="Q49" t="s">
        <v>184</v>
      </c>
      <c r="R49" s="231">
        <v>5.8557745224525878E-2</v>
      </c>
      <c r="T49" s="1" t="s">
        <v>168</v>
      </c>
      <c r="U49" s="1" t="str">
        <f>DemTechs_INDF!Y$5</f>
        <v>MANHEAT</v>
      </c>
      <c r="V49" t="s">
        <v>184</v>
      </c>
      <c r="W49" s="231">
        <v>5.8557745224525878E-2</v>
      </c>
      <c r="Y49" s="1" t="s">
        <v>168</v>
      </c>
      <c r="Z49" s="1" t="str">
        <f>DemTechs_INDF!Y$8</f>
        <v>CEMENTHEAT</v>
      </c>
      <c r="AA49" t="s">
        <v>184</v>
      </c>
      <c r="AB49" s="231">
        <v>5.8557745224525878E-2</v>
      </c>
    </row>
    <row r="50" spans="15:28" x14ac:dyDescent="0.2">
      <c r="O50" s="1" t="s">
        <v>168</v>
      </c>
      <c r="P50" s="1" t="str">
        <f>DemTechs_INDF!Y$6</f>
        <v>MANELC</v>
      </c>
      <c r="Q50" t="s">
        <v>185</v>
      </c>
      <c r="R50" s="231">
        <v>5.4169812257972488E-2</v>
      </c>
      <c r="T50" s="1" t="s">
        <v>168</v>
      </c>
      <c r="U50" s="1" t="str">
        <f>DemTechs_INDF!Y$5</f>
        <v>MANHEAT</v>
      </c>
      <c r="V50" t="s">
        <v>185</v>
      </c>
      <c r="W50" s="231">
        <v>5.4169812257972488E-2</v>
      </c>
      <c r="Y50" s="1" t="s">
        <v>168</v>
      </c>
      <c r="Z50" s="1" t="str">
        <f>DemTechs_INDF!Y$8</f>
        <v>CEMENTHEAT</v>
      </c>
      <c r="AA50" t="s">
        <v>185</v>
      </c>
      <c r="AB50" s="231">
        <v>5.4169812257972488E-2</v>
      </c>
    </row>
    <row r="51" spans="15:28" x14ac:dyDescent="0.2">
      <c r="O51" s="1" t="s">
        <v>168</v>
      </c>
      <c r="P51" s="1" t="str">
        <f>DemTechs_INDF!Y$6</f>
        <v>MANELC</v>
      </c>
      <c r="Q51" t="s">
        <v>186</v>
      </c>
      <c r="R51" s="231">
        <v>4.1857004866670537E-2</v>
      </c>
      <c r="T51" s="1" t="s">
        <v>168</v>
      </c>
      <c r="U51" s="1" t="str">
        <f>DemTechs_INDF!Y$5</f>
        <v>MANHEAT</v>
      </c>
      <c r="V51" t="s">
        <v>186</v>
      </c>
      <c r="W51" s="231">
        <v>4.1857004866670537E-2</v>
      </c>
      <c r="Y51" s="1" t="s">
        <v>168</v>
      </c>
      <c r="Z51" s="1" t="str">
        <f>DemTechs_INDF!Y$8</f>
        <v>CEMENTHEAT</v>
      </c>
      <c r="AA51" t="s">
        <v>186</v>
      </c>
      <c r="AB51" s="231">
        <v>4.1857004866670537E-2</v>
      </c>
    </row>
    <row r="52" spans="15:28" x14ac:dyDescent="0.2">
      <c r="O52" s="1" t="s">
        <v>168</v>
      </c>
      <c r="P52" s="1" t="str">
        <f>DemTechs_INDF!Y$6</f>
        <v>MANELC</v>
      </c>
      <c r="Q52" t="s">
        <v>187</v>
      </c>
      <c r="R52" s="231">
        <v>3.3691520594468241E-2</v>
      </c>
      <c r="T52" s="1" t="s">
        <v>168</v>
      </c>
      <c r="U52" s="1" t="str">
        <f>DemTechs_INDF!Y$5</f>
        <v>MANHEAT</v>
      </c>
      <c r="V52" t="s">
        <v>187</v>
      </c>
      <c r="W52" s="231">
        <v>3.3691520594468241E-2</v>
      </c>
      <c r="Y52" s="1" t="s">
        <v>168</v>
      </c>
      <c r="Z52" s="1" t="str">
        <f>DemTechs_INDF!Y$8</f>
        <v>CEMENTHEAT</v>
      </c>
      <c r="AA52" t="s">
        <v>187</v>
      </c>
      <c r="AB52" s="231">
        <v>3.3691520594468241E-2</v>
      </c>
    </row>
    <row r="53" spans="15:28" x14ac:dyDescent="0.2">
      <c r="O53" s="1" t="s">
        <v>168</v>
      </c>
      <c r="P53" s="1" t="str">
        <f>DemTechs_INDF!Y$6</f>
        <v>MANELC</v>
      </c>
      <c r="Q53" t="s">
        <v>188</v>
      </c>
      <c r="R53" s="231">
        <v>3.2906492752302938E-2</v>
      </c>
      <c r="T53" s="1" t="s">
        <v>168</v>
      </c>
      <c r="U53" s="1" t="str">
        <f>DemTechs_INDF!Y$5</f>
        <v>MANHEAT</v>
      </c>
      <c r="V53" t="s">
        <v>188</v>
      </c>
      <c r="W53" s="231">
        <v>3.2906492752302938E-2</v>
      </c>
      <c r="Y53" s="1" t="s">
        <v>168</v>
      </c>
      <c r="Z53" s="1" t="str">
        <f>DemTechs_INDF!Y$8</f>
        <v>CEMENTHEAT</v>
      </c>
      <c r="AA53" t="s">
        <v>188</v>
      </c>
      <c r="AB53" s="231">
        <v>3.2906492752302938E-2</v>
      </c>
    </row>
    <row r="54" spans="15:28" x14ac:dyDescent="0.2">
      <c r="O54" s="1" t="s">
        <v>168</v>
      </c>
      <c r="P54" s="1" t="str">
        <f>DemTechs_INDF!Y$6</f>
        <v>MANELC</v>
      </c>
      <c r="Q54" t="s">
        <v>189</v>
      </c>
      <c r="R54" s="231">
        <v>3.20626233861286E-2</v>
      </c>
      <c r="T54" s="1" t="s">
        <v>168</v>
      </c>
      <c r="U54" s="1" t="str">
        <f>DemTechs_INDF!Y$5</f>
        <v>MANHEAT</v>
      </c>
      <c r="V54" t="s">
        <v>189</v>
      </c>
      <c r="W54" s="231">
        <v>3.20626233861286E-2</v>
      </c>
      <c r="Y54" s="1" t="s">
        <v>168</v>
      </c>
      <c r="Z54" s="1" t="str">
        <f>DemTechs_INDF!Y$8</f>
        <v>CEMENTHEAT</v>
      </c>
      <c r="AA54" t="s">
        <v>189</v>
      </c>
      <c r="AB54" s="231">
        <v>3.20626233861286E-2</v>
      </c>
    </row>
    <row r="55" spans="15:28" x14ac:dyDescent="0.2">
      <c r="O55" s="1" t="s">
        <v>168</v>
      </c>
      <c r="P55" s="1" t="str">
        <f>DemTechs_INDF!Y$6</f>
        <v>MANELC</v>
      </c>
      <c r="Q55" t="s">
        <v>190</v>
      </c>
      <c r="R55" s="231">
        <v>3.1700774081405016E-2</v>
      </c>
      <c r="T55" s="1" t="s">
        <v>168</v>
      </c>
      <c r="U55" s="1" t="str">
        <f>DemTechs_INDF!Y$5</f>
        <v>MANHEAT</v>
      </c>
      <c r="V55" t="s">
        <v>190</v>
      </c>
      <c r="W55" s="231">
        <v>3.1700774081405016E-2</v>
      </c>
      <c r="Y55" s="1" t="s">
        <v>168</v>
      </c>
      <c r="Z55" s="1" t="str">
        <f>DemTechs_INDF!Y$8</f>
        <v>CEMENTHEAT</v>
      </c>
      <c r="AA55" t="s">
        <v>190</v>
      </c>
      <c r="AB55" s="231">
        <v>3.1700774081405016E-2</v>
      </c>
    </row>
    <row r="56" spans="15:28" x14ac:dyDescent="0.2">
      <c r="O56" s="1" t="s">
        <v>168</v>
      </c>
      <c r="P56" s="1" t="str">
        <f>DemTechs_INDF!Y$6</f>
        <v>MANELC</v>
      </c>
      <c r="Q56" t="s">
        <v>191</v>
      </c>
      <c r="R56" s="231">
        <v>3.0548494068914959E-2</v>
      </c>
      <c r="T56" s="1" t="s">
        <v>168</v>
      </c>
      <c r="U56" s="1" t="str">
        <f>DemTechs_INDF!Y$5</f>
        <v>MANHEAT</v>
      </c>
      <c r="V56" t="s">
        <v>191</v>
      </c>
      <c r="W56" s="231">
        <v>3.0548494068914959E-2</v>
      </c>
      <c r="Y56" s="1" t="s">
        <v>168</v>
      </c>
      <c r="Z56" s="1" t="str">
        <f>DemTechs_INDF!Y$8</f>
        <v>CEMENTHEAT</v>
      </c>
      <c r="AA56" t="s">
        <v>191</v>
      </c>
      <c r="AB56" s="231">
        <v>3.0548494068914959E-2</v>
      </c>
    </row>
    <row r="57" spans="15:28" x14ac:dyDescent="0.2">
      <c r="O57" s="1" t="s">
        <v>168</v>
      </c>
      <c r="P57" s="1" t="str">
        <f>DemTechs_INDF!Y$6</f>
        <v>MANELC</v>
      </c>
      <c r="Q57" t="s">
        <v>192</v>
      </c>
      <c r="R57" s="231">
        <v>3.117830445262517E-2</v>
      </c>
      <c r="T57" s="1" t="s">
        <v>168</v>
      </c>
      <c r="U57" s="1" t="str">
        <f>DemTechs_INDF!Y$5</f>
        <v>MANHEAT</v>
      </c>
      <c r="V57" t="s">
        <v>192</v>
      </c>
      <c r="W57" s="231">
        <v>3.117830445262517E-2</v>
      </c>
      <c r="Y57" s="1" t="s">
        <v>168</v>
      </c>
      <c r="Z57" s="1" t="str">
        <f>DemTechs_INDF!Y$8</f>
        <v>CEMENTHEAT</v>
      </c>
      <c r="AA57" t="s">
        <v>192</v>
      </c>
      <c r="AB57" s="231">
        <v>3.117830445262517E-2</v>
      </c>
    </row>
    <row r="58" spans="15:28" x14ac:dyDescent="0.2">
      <c r="O58" s="1"/>
      <c r="P58" s="142"/>
      <c r="Q58" s="142"/>
      <c r="R58" s="217"/>
    </row>
    <row r="59" spans="15:28" x14ac:dyDescent="0.2">
      <c r="R59" s="142"/>
    </row>
  </sheetData>
  <phoneticPr fontId="38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5" t="s">
        <v>196</v>
      </c>
      <c r="C3" s="125"/>
      <c r="D3" s="125"/>
      <c r="E3" s="125"/>
      <c r="F3" s="125"/>
      <c r="G3" s="125"/>
      <c r="H3" s="125"/>
    </row>
    <row r="4" spans="2:9" ht="17.45" customHeight="1" x14ac:dyDescent="0.25">
      <c r="B4" s="126"/>
      <c r="C4" s="126"/>
      <c r="D4" s="126"/>
      <c r="E4" s="126"/>
      <c r="F4" s="126"/>
      <c r="G4" s="126"/>
    </row>
    <row r="5" spans="2:9" ht="18" x14ac:dyDescent="0.25">
      <c r="B5" s="127" t="s">
        <v>197</v>
      </c>
      <c r="C5" s="128"/>
    </row>
    <row r="6" spans="2:9" ht="13.5" thickBot="1" x14ac:dyDescent="0.25">
      <c r="B6" s="129" t="s">
        <v>0</v>
      </c>
      <c r="C6" s="129" t="str">
        <f>PRI_Sector_Fuels!O5</f>
        <v>MANCOALMIN</v>
      </c>
      <c r="D6" s="129" t="str">
        <f>PRI_Sector_Fuels!O6</f>
        <v>MANCOALIMP</v>
      </c>
      <c r="E6" s="129" t="str">
        <f>PRI_Sector_Fuels!O7</f>
        <v>MANOILIMP</v>
      </c>
      <c r="F6" s="129" t="str">
        <f>PRI_Sector_Fuels!O8</f>
        <v>ELC</v>
      </c>
      <c r="G6" s="129"/>
      <c r="H6" s="129"/>
      <c r="I6" s="1"/>
    </row>
    <row r="7" spans="2:9" ht="13.5" thickBot="1" x14ac:dyDescent="0.25">
      <c r="B7" s="130" t="s">
        <v>87</v>
      </c>
      <c r="C7" s="130" t="s">
        <v>198</v>
      </c>
      <c r="D7" s="130" t="s">
        <v>198</v>
      </c>
      <c r="E7" s="130" t="s">
        <v>198</v>
      </c>
      <c r="F7" s="130" t="s">
        <v>198</v>
      </c>
      <c r="G7" s="130"/>
      <c r="H7" s="130"/>
      <c r="I7" s="1"/>
    </row>
    <row r="8" spans="2:9" x14ac:dyDescent="0.2">
      <c r="B8" s="213"/>
      <c r="C8" s="213"/>
      <c r="D8" s="213"/>
      <c r="E8" s="213"/>
      <c r="F8" s="213"/>
      <c r="G8" s="213"/>
      <c r="H8" s="213"/>
      <c r="I8" s="1"/>
    </row>
    <row r="9" spans="2:9" x14ac:dyDescent="0.2">
      <c r="B9" s="131" t="str">
        <f>DemTechs_INDF!Y7</f>
        <v>MANCO2</v>
      </c>
      <c r="C9" s="132">
        <v>0.34100000000000003</v>
      </c>
      <c r="D9" s="132">
        <v>0.34100000000000003</v>
      </c>
      <c r="E9" s="132">
        <v>0.25900000000000001</v>
      </c>
      <c r="F9" s="132">
        <v>0</v>
      </c>
      <c r="G9" s="132"/>
      <c r="H9" s="132"/>
      <c r="I9" s="1"/>
    </row>
    <row r="24" spans="2:3" x14ac:dyDescent="0.2">
      <c r="B24" s="119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2025-12-26T18:06:24Z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