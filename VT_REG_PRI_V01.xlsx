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13" documentId="13_ncr:1_{695CB326-1C9F-4FDF-8009-B92C838E177A}" xr6:coauthVersionLast="47" xr6:coauthVersionMax="47" xr10:uidLastSave="{237C71FA-D898-449B-A9EC-EF7403480433}"/>
  <bookViews>
    <workbookView xWindow="-12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<sst xmlns="http://schemas.openxmlformats.org/spreadsheetml/2006/main" count="755" uniqueCount="263">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</sst>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9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3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256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253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254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255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K6" zoomScale="148" zoomScaleNormal="148" workbookViewId="0">
      <selection activeCell="S23" sqref="S23:S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257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">
      <c r="H38" s="158"/>
      <c r="I38" s="158"/>
      <c r="J38" s="158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K1" zoomScale="118" zoomScaleNormal="118" workbookViewId="0">
      <selection activeCell="AA11" sqref="AA11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214</v>
      </c>
      <c r="AA5" s="142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/>
      <c r="Z8" s="142" t="s">
        <v>252</v>
      </c>
      <c r="AA8" s="142" t="s">
        <v>213</v>
      </c>
      <c r="AB8" s="154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216</v>
      </c>
      <c r="F17" s="96" t="s">
        <v>246</v>
      </c>
      <c r="G17" s="96" t="s">
        <v>247</v>
      </c>
      <c r="H17" s="96" t="s">
        <v>248</v>
      </c>
      <c r="I17" s="96" t="s">
        <v>249</v>
      </c>
      <c r="J17" s="96" t="s">
        <v>250</v>
      </c>
      <c r="K17" s="96" t="s">
        <v>251</v>
      </c>
      <c r="L17" s="96" t="s">
        <v>245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259</v>
      </c>
      <c r="T17" s="95" t="s">
        <v>149</v>
      </c>
      <c r="U17" s="95" t="s">
        <v>242</v>
      </c>
      <c r="V17" s="155"/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260</v>
      </c>
      <c r="T18" s="97" t="s">
        <v>150</v>
      </c>
      <c r="U18" s="97" t="s">
        <v>243</v>
      </c>
      <c r="V18" s="156"/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258</v>
      </c>
      <c r="R19" s="100" t="s">
        <v>262</v>
      </c>
      <c r="S19" s="100" t="s">
        <v>261</v>
      </c>
      <c r="T19" s="100"/>
      <c r="U19" s="100" t="s">
        <v>244</v>
      </c>
      <c r="V19" s="157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0.55000000000000004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10"/>
      <c r="W20" s="110"/>
      <c r="X20" s="145" t="s">
        <v>215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10"/>
      <c r="W21" s="110"/>
      <c r="X21" s="145" t="s">
        <v>215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10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209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Z23" s="141" t="s">
        <v>252</v>
      </c>
      <c r="AA23" s="141" t="s">
        <v>213</v>
      </c>
      <c r="AB23" s="88" t="s">
        <v>148</v>
      </c>
      <c r="AC23" s="88" t="s">
        <v>142</v>
      </c>
      <c r="AD23" s="151" t="s">
        <v>209</v>
      </c>
    </row>
    <row r="24" spans="2:32" s="141" customFormat="1" x14ac:dyDescent="0.2">
      <c r="B24" s="94" t="s">
        <v>141</v>
      </c>
      <c r="C24" s="142"/>
      <c r="D24" s="154" t="s">
        <v>241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4" t="s">
        <v>241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">
      <c r="AB28" s="94"/>
      <c r="AC28" s="94"/>
      <c r="AD28" s="152"/>
    </row>
    <row r="29" spans="2:32" s="141" customFormat="1" x14ac:dyDescent="0.2">
      <c r="AC29" s="94"/>
    </row>
    <row r="30" spans="2:32" s="110" customFormat="1" x14ac:dyDescent="0.2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">
      <c r="E36" s="145"/>
      <c r="N36" s="107"/>
      <c r="O36" s="106"/>
      <c r="Q36" s="164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">
      <c r="H50" s="178"/>
      <c r="I50" s="179"/>
    </row>
    <row r="53" spans="6:9" x14ac:dyDescent="0.2">
      <c r="G53" s="145"/>
      <c r="I53" s="145"/>
    </row>
    <row r="54" spans="6:9" x14ac:dyDescent="0.2">
      <c r="G54" s="145"/>
    </row>
    <row r="55" spans="6:9" s="94" customFormat="1" x14ac:dyDescent="0.2">
      <c r="H55" s="143"/>
    </row>
    <row r="56" spans="6:9" x14ac:dyDescent="0.2">
      <c r="F56" s="145"/>
      <c r="G56" s="145"/>
    </row>
    <row r="58" spans="6:9" x14ac:dyDescent="0.2">
      <c r="F58" s="145"/>
    </row>
    <row r="59" spans="6:9" x14ac:dyDescent="0.2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I10" sqref="I10"/>
    </sheetView>
  </sheetViews>
  <sheetFormatPr defaultColWidth="25.7109375" defaultRowHeight="12.75" x14ac:dyDescent="0.2"/>
  <cols>
    <col min="1" max="1" width="7.140625" customWidth="1"/>
    <col min="2" max="2" width="12.28515625" bestFit="1" customWidth="1"/>
    <col min="3" max="3" width="26" bestFit="1" customWidth="1"/>
    <col min="4" max="4" width="11.140625" bestFit="1" customWidth="1"/>
    <col min="5" max="5" width="12.7109375" bestFit="1" customWidth="1"/>
    <col min="6" max="6" width="13.140625" bestFit="1" customWidth="1"/>
    <col min="7" max="7" width="9.28515625" customWidth="1"/>
    <col min="8" max="8" width="9" bestFit="1" customWidth="1"/>
    <col min="9" max="9" width="12.140625" bestFit="1" customWidth="1"/>
    <col min="10" max="12" width="7.5703125" customWidth="1"/>
    <col min="13" max="13" width="9" bestFit="1" customWidth="1"/>
    <col min="14" max="14" width="12.140625" bestFit="1" customWidth="1"/>
    <col min="15" max="17" width="7.5703125" customWidth="1"/>
    <col min="18" max="18" width="9" bestFit="1" customWidth="1"/>
    <col min="19" max="19" width="14.140625" bestFit="1" customWidth="1"/>
    <col min="20" max="22" width="7.5703125" customWidth="1"/>
  </cols>
  <sheetData>
    <row r="1" spans="2:21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">
      <c r="C5" s="115" t="s">
        <v>13</v>
      </c>
      <c r="D5" s="115"/>
      <c r="E5" s="1"/>
    </row>
    <row r="6" spans="2:21" x14ac:dyDescent="0.2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4.5" thickBot="1" x14ac:dyDescent="0.25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3.25" thickBot="1" x14ac:dyDescent="0.25">
      <c r="B9" s="175" t="s">
        <v>165</v>
      </c>
      <c r="C9" s="175" t="s">
        <v>214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217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217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217</v>
      </c>
      <c r="U10" s="185">
        <v>3.3566276423652626E-2</v>
      </c>
    </row>
    <row r="11" spans="2:21" s="158" customFormat="1" ht="14.25" x14ac:dyDescent="0.2">
      <c r="B11" s="175" t="s">
        <v>165</v>
      </c>
      <c r="C11" s="175" t="s">
        <v>252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218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218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218</v>
      </c>
      <c r="U11" s="185">
        <v>3.3302706089073604E-2</v>
      </c>
    </row>
    <row r="12" spans="2:21" x14ac:dyDescent="0.2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219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219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219</v>
      </c>
      <c r="U12" s="185">
        <v>3.3481814338032219E-2</v>
      </c>
    </row>
    <row r="13" spans="2:21" x14ac:dyDescent="0.2">
      <c r="H13" s="1" t="s">
        <v>167</v>
      </c>
      <c r="I13" s="1" t="str">
        <f>DemTechs_INDF!Z$6</f>
        <v>MANELC</v>
      </c>
      <c r="J13" s="176" t="s">
        <v>220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220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220</v>
      </c>
      <c r="U13" s="185">
        <v>3.3611381763990082E-2</v>
      </c>
    </row>
    <row r="14" spans="2:21" x14ac:dyDescent="0.2">
      <c r="H14" s="1" t="s">
        <v>167</v>
      </c>
      <c r="I14" s="1" t="str">
        <f>DemTechs_INDF!Z$6</f>
        <v>MANELC</v>
      </c>
      <c r="J14" s="145" t="s">
        <v>221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221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221</v>
      </c>
      <c r="U14" s="185">
        <v>3.4004820718610197E-2</v>
      </c>
    </row>
    <row r="15" spans="2:21" x14ac:dyDescent="0.2">
      <c r="H15" s="1" t="s">
        <v>167</v>
      </c>
      <c r="I15" s="1" t="str">
        <f>DemTechs_INDF!Z$6</f>
        <v>MANELC</v>
      </c>
      <c r="J15" s="176" t="s">
        <v>222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222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222</v>
      </c>
      <c r="U15" s="185">
        <v>3.4081384083392653E-2</v>
      </c>
    </row>
    <row r="16" spans="2:21" x14ac:dyDescent="0.2">
      <c r="H16" s="1" t="s">
        <v>167</v>
      </c>
      <c r="I16" s="1" t="str">
        <f>DemTechs_INDF!Z$6</f>
        <v>MANELC</v>
      </c>
      <c r="J16" s="145" t="s">
        <v>223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223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223</v>
      </c>
      <c r="U16" s="185">
        <v>3.3156795624830704E-2</v>
      </c>
    </row>
    <row r="17" spans="4:21" x14ac:dyDescent="0.2">
      <c r="H17" t="s">
        <v>167</v>
      </c>
      <c r="I17" t="str">
        <f>DemTechs_INDF!Z$6</f>
        <v>MANELC</v>
      </c>
      <c r="J17" t="s">
        <v>224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224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224</v>
      </c>
      <c r="U17" s="185">
        <v>3.6518070997817571E-2</v>
      </c>
    </row>
    <row r="18" spans="4:21" x14ac:dyDescent="0.2">
      <c r="H18" s="1" t="s">
        <v>167</v>
      </c>
      <c r="I18" s="1" t="str">
        <f>DemTechs_INDF!Z$6</f>
        <v>MANELC</v>
      </c>
      <c r="J18" s="145" t="s">
        <v>225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225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225</v>
      </c>
      <c r="U18" s="185">
        <v>4.7257353018906531E-2</v>
      </c>
    </row>
    <row r="19" spans="4:21" x14ac:dyDescent="0.2">
      <c r="H19" t="s">
        <v>167</v>
      </c>
      <c r="I19" t="str">
        <f>DemTechs_INDF!Z$6</f>
        <v>MANELC</v>
      </c>
      <c r="J19" t="s">
        <v>226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226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226</v>
      </c>
      <c r="U19" s="185">
        <v>5.6756578785819259E-2</v>
      </c>
    </row>
    <row r="20" spans="4:21" x14ac:dyDescent="0.2">
      <c r="H20" t="s">
        <v>167</v>
      </c>
      <c r="I20" t="str">
        <f>DemTechs_INDF!Z$6</f>
        <v>MANELC</v>
      </c>
      <c r="J20" t="s">
        <v>227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227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227</v>
      </c>
      <c r="U20" s="185">
        <v>5.5715023853427123E-2</v>
      </c>
    </row>
    <row r="21" spans="4:21" x14ac:dyDescent="0.2">
      <c r="H21" t="s">
        <v>167</v>
      </c>
      <c r="I21" t="str">
        <f>DemTechs_INDF!Z$6</f>
        <v>MANELC</v>
      </c>
      <c r="J21" t="s">
        <v>228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228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228</v>
      </c>
      <c r="U21" s="185">
        <v>5.6345483069498978E-2</v>
      </c>
    </row>
    <row r="22" spans="4:21" x14ac:dyDescent="0.2">
      <c r="H22" t="s">
        <v>167</v>
      </c>
      <c r="I22" t="str">
        <f>DemTechs_INDF!Z$6</f>
        <v>MANELC</v>
      </c>
      <c r="J22" t="s">
        <v>229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229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229</v>
      </c>
      <c r="U22" s="185">
        <v>4.8662133827205516E-2</v>
      </c>
    </row>
    <row r="23" spans="4:21" x14ac:dyDescent="0.2">
      <c r="H23" t="s">
        <v>167</v>
      </c>
      <c r="I23" t="str">
        <f>DemTechs_INDF!Z$6</f>
        <v>MANELC</v>
      </c>
      <c r="J23" t="s">
        <v>230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230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230</v>
      </c>
      <c r="U23" s="185">
        <v>5.0293526586567008E-2</v>
      </c>
    </row>
    <row r="24" spans="4:21" x14ac:dyDescent="0.2">
      <c r="H24" t="s">
        <v>167</v>
      </c>
      <c r="I24" t="str">
        <f>DemTechs_INDF!Z$6</f>
        <v>MANELC</v>
      </c>
      <c r="J24" t="s">
        <v>231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231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231</v>
      </c>
      <c r="U24" s="185">
        <v>5.2523087098903048E-2</v>
      </c>
    </row>
    <row r="25" spans="4:21" x14ac:dyDescent="0.2">
      <c r="H25" t="s">
        <v>167</v>
      </c>
      <c r="I25" t="str">
        <f>DemTechs_INDF!Z$6</f>
        <v>MANELC</v>
      </c>
      <c r="J25" t="s">
        <v>232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232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232</v>
      </c>
      <c r="U25" s="185">
        <v>5.4966761848993004E-2</v>
      </c>
    </row>
    <row r="26" spans="4:21" x14ac:dyDescent="0.2">
      <c r="D26" s="109"/>
      <c r="H26" t="s">
        <v>167</v>
      </c>
      <c r="I26" t="str">
        <f>DemTechs_INDF!Z$6</f>
        <v>MANELC</v>
      </c>
      <c r="J26" t="s">
        <v>233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233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233</v>
      </c>
      <c r="U26" s="185">
        <v>5.3016988893511453E-2</v>
      </c>
    </row>
    <row r="27" spans="4:21" x14ac:dyDescent="0.2">
      <c r="D27" s="109"/>
      <c r="E27" s="5"/>
      <c r="H27" t="s">
        <v>167</v>
      </c>
      <c r="I27" t="str">
        <f>DemTechs_INDF!Z$6</f>
        <v>MANELC</v>
      </c>
      <c r="J27" t="s">
        <v>234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234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234</v>
      </c>
      <c r="U27" s="185">
        <v>4.4273060594597062E-2</v>
      </c>
    </row>
    <row r="28" spans="4:21" x14ac:dyDescent="0.2">
      <c r="D28" s="109"/>
      <c r="E28" s="109"/>
      <c r="F28" s="109"/>
      <c r="H28" t="s">
        <v>167</v>
      </c>
      <c r="I28" t="str">
        <f>DemTechs_INDF!Z$6</f>
        <v>MANELC</v>
      </c>
      <c r="J28" t="s">
        <v>235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235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235</v>
      </c>
      <c r="U28" s="185">
        <v>3.6258449498494133E-2</v>
      </c>
    </row>
    <row r="29" spans="4:21" x14ac:dyDescent="0.2">
      <c r="D29" s="109"/>
      <c r="E29" s="109"/>
      <c r="F29" s="109"/>
      <c r="H29" t="s">
        <v>167</v>
      </c>
      <c r="I29" t="str">
        <f>DemTechs_INDF!Z$6</f>
        <v>MANELC</v>
      </c>
      <c r="J29" t="s">
        <v>236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236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236</v>
      </c>
      <c r="U29" s="185">
        <v>3.6040655779430726E-2</v>
      </c>
    </row>
    <row r="30" spans="4:21" x14ac:dyDescent="0.2">
      <c r="H30" s="1" t="s">
        <v>167</v>
      </c>
      <c r="I30" s="1" t="str">
        <f>DemTechs_INDF!Z$6</f>
        <v>MANELC</v>
      </c>
      <c r="J30" s="145" t="s">
        <v>237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237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237</v>
      </c>
      <c r="U30" s="185">
        <v>3.5097781406108856E-2</v>
      </c>
    </row>
    <row r="31" spans="4:21" x14ac:dyDescent="0.2">
      <c r="H31" s="1" t="s">
        <v>167</v>
      </c>
      <c r="I31" s="1" t="str">
        <f>DemTechs_INDF!Z$6</f>
        <v>MANELC</v>
      </c>
      <c r="J31" s="176" t="s">
        <v>238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238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238</v>
      </c>
      <c r="U31" s="185">
        <v>3.482493578674286E-2</v>
      </c>
    </row>
    <row r="32" spans="4:21" x14ac:dyDescent="0.2">
      <c r="E32" s="5"/>
      <c r="H32" s="1" t="s">
        <v>167</v>
      </c>
      <c r="I32" s="1" t="str">
        <f>DemTechs_INDF!Z$6</f>
        <v>MANELC</v>
      </c>
      <c r="J32" s="145" t="s">
        <v>239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239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239</v>
      </c>
      <c r="U32" s="185">
        <v>3.2564766705734945E-2</v>
      </c>
    </row>
    <row r="33" spans="2:21" x14ac:dyDescent="0.2">
      <c r="B33" s="1"/>
      <c r="E33" s="5"/>
      <c r="H33" s="1" t="s">
        <v>167</v>
      </c>
      <c r="I33" s="1" t="str">
        <f>DemTechs_INDF!Z$6</f>
        <v>MANELC</v>
      </c>
      <c r="J33" s="176" t="s">
        <v>240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240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240</v>
      </c>
      <c r="U33" s="185">
        <v>3.3680163206659841E-2</v>
      </c>
    </row>
    <row r="34" spans="2:21" x14ac:dyDescent="0.2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">
      <c r="H58" s="1"/>
      <c r="I58" s="137"/>
      <c r="J58" s="137"/>
      <c r="K58" s="181"/>
    </row>
    <row r="59" spans="8:21" x14ac:dyDescent="0.2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7"/>
      <c r="C8" s="177"/>
      <c r="D8" s="177"/>
      <c r="E8" s="177"/>
      <c r="F8" s="177"/>
      <c r="G8" s="177"/>
      <c r="H8" s="177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2026-01-13T13:32:03Z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