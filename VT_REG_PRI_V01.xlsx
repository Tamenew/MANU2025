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E46DEF0D-CC8D-4507-89E7-A71019309DA3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<sst xmlns="http://schemas.openxmlformats.org/spreadsheetml/2006/main" count="789" uniqueCount="267">
  <si>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</si>
  <si>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</si>
  <si>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</si>
  <si>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</si>
  <si>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</si>
  <si>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</si>
  <si>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</si>
  <si>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</si>
  <si>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</si>
  <si>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</si>
  <si>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</si>
  <si>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</si>
  <si>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</si>
  <si>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</si>
  <si>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</si>
  <si>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</si>
  <si>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</si>
  <si>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</si>
  <si>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</si>
  <si>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</si>
  <si>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</si>
  <si>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</si>
  <si>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</si>
  <si>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</si>
  <si>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</si>
  <si>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</si>
  <si>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</si>
  <si>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</si>
  <si>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</si>
  <si>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</si>
  <si>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</si>
  <si>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</si>
  <si>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</si>
  <si>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</si>
  <si>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</si>
  <si>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</si>
  <si>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</si>
  <si>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</si>
  <si>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</si>
  <si>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</si>
  <si>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</si>
  <si>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</si>
  <si>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</si>
  <si>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</si>
  <si>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</si>
  <si>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</si>
  <si>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</si>
  <si>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</si>
  <si>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</si>
  <si>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</si>
  <si>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</si>
  <si>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</si>
  <si>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</si>
  <si>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</si>
  <si>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</si>
  <si>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</si>
  <si>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</si>
  <si>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</si>
  <si>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</si>
  <si>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</si>
  <si>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</si>
  <si>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</si>
  <si>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</si>
  <si>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</si>
  <si>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</si>
  <si>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</si>
  <si>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</si>
  <si>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</si>
  <si>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</si>
  <si>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</si>
  <si>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</si>
  <si>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</si>
  <si>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</si>
  <si>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</si>
  <si>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</si>
  <si>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</si>
  <si>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</si>
  <si>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</si>
  <si>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</si>
  <si>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</si>
  <si>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</si>
  <si>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</si>
  <si>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</si>
  <si>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</si>
  <si>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</si>
  <si>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</si>
  <si>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</si>
  <si>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</si>
  <si>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</si>
  <si>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</si>
  <si>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</si>
  <si>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</si>
  <si>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</si>
  <si>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</si>
  <si>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</si>
  <si>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</si>
  <si>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</si>
  <si>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</si>
  <si>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</si>
  <si>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</si>
  <si>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</si>
  <si>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</si>
  <si>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</si>
  <si>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</si>
  <si>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</si>
  <si>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</si>
  <si>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</si>
  <si>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</si>
  <si>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</si>
  <si>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</si>
  <si>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</si>
  <si>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</si>
  <si>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</si>
  <si>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</si>
  <si>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</si>
  <si>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</si>
  <si>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</si>
  <si>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</si>
  <si>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</si>
  <si>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</si>
  <si>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</si>
  <si>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</si>
  <si>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</si>
  <si>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</si>
  <si>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</si>
  <si>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</si>
  <si>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</si>
  <si>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</si>
  <si>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</si>
  <si>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</si>
  <si>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</si>
  <si>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</si>
  <si>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</si>
  <si>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</si>
  <si>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</si>
  <si>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</si>
  <si>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</si>
  <si>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</si>
  <si>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</si>
  <si>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</si>
  <si>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</si>
  <si>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</si>
  <si>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</si>
  <si>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</si>
  <si>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</si>
  <si>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</si>
  <si>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</si>
  <si>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</si>
  <si>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</si>
  <si>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</si>
  <si>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</si>
  <si>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</si>
  <si>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</si>
  <si>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</si>
  <si>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</si>
  <si>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</si>
  <si>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</si>
  <si>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</si>
  <si>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</si>
  <si>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</si>
  <si>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</si>
  <si>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</si>
  <si>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</si>
  <si>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</si>
  <si>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</si>
  <si>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</si>
  <si>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</si>
  <si>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</si>
  <si>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</si>
  <si>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</si>
  <si>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</si>
  <si>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</si>
  <si>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</si>
  <si>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</si>
  <si>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</si>
  <si>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</si>
  <si>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</si>
  <si>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</si>
  <si>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</si>
  <si>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</si>
  <si>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</si>
  <si>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</si>
  <si>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</si>
  <si>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</si>
  <si>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</si>
  <si>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</si>
  <si>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</si>
  <si>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</si>
  <si>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</si>
  <si>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</si>
  <si>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</si>
  <si>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</si>
  <si>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</si>
  <si>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</si>
  <si>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</si>
  <si>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</si>
  <si>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</si>
  <si>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</si>
  <si>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</si>
  <si>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</si>
  <si>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</si>
  <si>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</si>
  <si>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</si>
  <si>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</si>
  <si>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</si>
  <si>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</si>
  <si>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</si>
  <si>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</si>
  <si>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</si>
  <si>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</si>
  <si>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</si>
  <si>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</si>
  <si>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</si>
  <si>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</si>
  <si>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</si>
  <si>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</si>
  <si>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</si>
  <si>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</si>
  <si>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</si>
  <si>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</si>
  <si>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</si>
  <si>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</si>
  <si>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</si>
  <si>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</si>
  <si>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</si>
  <si>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</si>
  <si>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</si>
  <si>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</si>
  <si>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</si>
  <si>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</si>
  <si>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</si>
  <si>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</si>
  <si>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</si>
  <si>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</si>
  <si>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</si>
  <si>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</si>
  <si>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</si>
  <si>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</si>
  <si>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</si>
  <si>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</si>
  <si>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</si>
  <si>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</si>
  <si>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</si>
  <si>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</si>
  <si>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Share-I~UP</t>
    </r>
    <r>
      <rPr>
        <b/>
        <sz val="10"/>
        <color rgb="FFFF0000"/>
        <rFont val="Arial"/>
        <family val="2"/>
      </rPr>
      <t>~2050</t>
    </r>
  </si>
  <si>
    <r>
      <t>Share-I~UP</t>
    </r>
    <r>
      <rPr>
        <b/>
        <sz val="10"/>
        <color rgb="FFFF0000"/>
        <rFont val="Arial"/>
        <family val="2"/>
      </rPr>
      <t>~2022</t>
    </r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</si>
  <si>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</si>
  <si>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</si>
  <si>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</si>
  <si>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</si>
  <si>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</si>
  <si>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</si>
  <si>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</si>
  <si>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</si>
  <si>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</si>
  <si>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</si>
  <si>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</si>
  <si>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</si>
  <si>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</si>
  <si>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</si>
  <si>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2024THUSD/GWh</t>
  </si>
  <si>
    <t>2024THUSD/MW</t>
  </si>
  <si>
    <t>Peak</t>
  </si>
  <si>
    <t>% contribution</t>
  </si>
  <si>
    <t>MANCOALMIN</t>
  </si>
  <si>
    <t>MANCOALIMP</t>
  </si>
  <si>
    <t>MANOILIMP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</si>
</sst>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6" sqref="G6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255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252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253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254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3" zoomScale="148" zoomScaleNormal="148" workbookViewId="0">
      <selection activeCell="K35" sqref="K35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256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D15" zoomScale="118" zoomScaleNormal="118" workbookViewId="0">
      <selection activeCell="K27" sqref="K27"/>
    </sheetView>
  </sheetViews>
  <sheetFormatPr defaultColWidth="8.88671875" defaultRowHeight="13.2" x14ac:dyDescent="0.25"/>
  <cols>
    <col min="1" max="1" width="3" style="88" customWidth="1"/>
    <col min="2" max="2" width="12.10937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251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215</v>
      </c>
      <c r="F17" s="96" t="s">
        <v>245</v>
      </c>
      <c r="G17" s="96" t="s">
        <v>246</v>
      </c>
      <c r="H17" s="96" t="s">
        <v>247</v>
      </c>
      <c r="I17" s="96" t="s">
        <v>248</v>
      </c>
      <c r="J17" s="96" t="s">
        <v>249</v>
      </c>
      <c r="K17" s="96" t="s">
        <v>250</v>
      </c>
      <c r="L17" s="96" t="s">
        <v>244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258</v>
      </c>
      <c r="T17" s="95" t="s">
        <v>149</v>
      </c>
      <c r="U17" s="95" t="s">
        <v>241</v>
      </c>
      <c r="V17" s="95" t="s">
        <v>262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259</v>
      </c>
      <c r="T18" s="97" t="s">
        <v>150</v>
      </c>
      <c r="U18" s="97" t="s">
        <v>242</v>
      </c>
      <c r="V18" s="97" t="s">
        <v>263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257</v>
      </c>
      <c r="R19" s="100" t="s">
        <v>261</v>
      </c>
      <c r="S19" s="100" t="s">
        <v>260</v>
      </c>
      <c r="T19" s="100"/>
      <c r="U19" s="100" t="s">
        <v>243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214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/>
      <c r="H21" s="109"/>
      <c r="I21" s="109"/>
      <c r="J21" s="109"/>
      <c r="K21" s="109"/>
      <c r="L21" s="109"/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214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151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X23" s="141" t="s">
        <v>109</v>
      </c>
      <c r="Z23" s="141" t="s">
        <v>251</v>
      </c>
      <c r="AA23" s="141" t="s">
        <v>212</v>
      </c>
      <c r="AB23" s="88" t="s">
        <v>148</v>
      </c>
      <c r="AC23" s="88" t="s">
        <v>142</v>
      </c>
      <c r="AD23" s="154" t="s">
        <v>202</v>
      </c>
    </row>
    <row r="24" spans="2:32" s="141" customFormat="1" x14ac:dyDescent="0.25">
      <c r="B24" s="94" t="s">
        <v>141</v>
      </c>
      <c r="C24" s="142"/>
      <c r="D24" s="154" t="s">
        <v>240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240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264</v>
      </c>
      <c r="D46" s="90" t="s">
        <v>251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265</v>
      </c>
      <c r="D47" s="88" t="s">
        <v>251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266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zoomScale="226" zoomScaleNormal="226" workbookViewId="0">
      <selection activeCell="N10" sqref="N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216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216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216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251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217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217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217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218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218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218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219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219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219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220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220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220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221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221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221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222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222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222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223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223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223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224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224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224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225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225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225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226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226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226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227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227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227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228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228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228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229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229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229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230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230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230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231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231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231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232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232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232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233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233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233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234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234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234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235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235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235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236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236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236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237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237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237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238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238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238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239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239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239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2026-02-05T14:39:06Z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