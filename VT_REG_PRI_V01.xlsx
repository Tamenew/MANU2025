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DC63FEAA-1CF5-41B3-AE3C-BE7B85BE63A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137" l="1"/>
  <c r="C23" i="143"/>
  <c r="D26" i="143"/>
  <c r="C26" i="143"/>
  <c r="B26" i="143"/>
  <c r="D26" i="137" l="1"/>
  <c r="I10" i="145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<sst xmlns="http://schemas.openxmlformats.org/spreadsheetml/2006/main" count="793" uniqueCount="269">
  <si>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</si>
  <si>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</si>
  <si>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</si>
  <si>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</si>
  <si>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</si>
  <si>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</si>
  <si>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</si>
  <si>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</si>
  <si>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</si>
  <si>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</si>
  <si>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</si>
  <si>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</si>
  <si>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</si>
  <si>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</si>
  <si>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</si>
  <si>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</si>
  <si>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</si>
  <si>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</si>
  <si>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</si>
  <si>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</si>
  <si>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</si>
  <si>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</si>
  <si>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</si>
  <si>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</si>
  <si>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</si>
  <si>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</si>
  <si>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</si>
  <si>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</si>
  <si>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</si>
  <si>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</si>
  <si>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</si>
  <si>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</si>
  <si>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</si>
  <si>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</si>
  <si>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</si>
  <si>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</si>
  <si>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</si>
  <si>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</si>
  <si>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</si>
  <si>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</si>
  <si>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</si>
  <si>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</si>
  <si>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</si>
  <si>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</si>
  <si>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</si>
  <si>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</si>
  <si>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</si>
  <si>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</si>
  <si>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</si>
  <si>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</si>
  <si>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</si>
  <si>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</si>
  <si>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</si>
  <si>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</si>
  <si>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</si>
  <si>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</si>
  <si>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</si>
  <si>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</si>
  <si>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</si>
  <si>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</si>
  <si>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</si>
  <si>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</si>
  <si>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</si>
  <si>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</si>
  <si>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</si>
  <si>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</si>
  <si>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</si>
  <si>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</si>
  <si>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</si>
  <si>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</si>
  <si>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</si>
  <si>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</si>
  <si>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</si>
  <si>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</si>
  <si>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</si>
  <si>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</si>
  <si>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</si>
  <si>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</si>
  <si>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</si>
  <si>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</si>
  <si>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</si>
  <si>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</si>
  <si>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</si>
  <si>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</si>
  <si>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</si>
  <si>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</si>
  <si>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</si>
  <si>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</si>
  <si>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</si>
  <si>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</si>
  <si>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</si>
  <si>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</si>
  <si>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</si>
  <si>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</si>
  <si>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</si>
  <si>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</si>
  <si>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</si>
  <si>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</si>
  <si>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</si>
  <si>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</si>
  <si>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</si>
  <si>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</si>
  <si>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</si>
  <si>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</si>
  <si>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</si>
  <si>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</si>
  <si>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</si>
  <si>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</si>
  <si>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</si>
  <si>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</si>
  <si>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</si>
  <si>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</si>
  <si>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</si>
  <si>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</si>
  <si>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</si>
  <si>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</si>
  <si>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</si>
  <si>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</si>
  <si>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</si>
  <si>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</si>
  <si>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</si>
  <si>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</si>
  <si>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</si>
  <si>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</si>
  <si>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</si>
  <si>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</si>
  <si>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</si>
  <si>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</si>
  <si>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</si>
  <si>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</si>
  <si>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</si>
  <si>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</si>
  <si>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</si>
  <si>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</si>
  <si>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</si>
  <si>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</si>
  <si>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</si>
  <si>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</si>
  <si>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</si>
  <si>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</si>
  <si>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</si>
  <si>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</si>
  <si>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</si>
  <si>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</si>
  <si>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</si>
  <si>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</si>
  <si>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</si>
  <si>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</si>
  <si>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</si>
  <si>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</si>
  <si>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</si>
  <si>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</si>
  <si>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</si>
  <si>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</si>
  <si>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</si>
  <si>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</si>
  <si>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</si>
  <si>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</si>
  <si>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</si>
  <si>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</si>
  <si>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</si>
  <si>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</si>
  <si>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</si>
  <si>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</si>
  <si>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</si>
  <si>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</si>
  <si>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</si>
  <si>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</si>
  <si>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</si>
  <si>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</si>
  <si>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</si>
  <si>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</si>
  <si>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</si>
  <si>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</si>
  <si>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</si>
  <si>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</si>
  <si>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</si>
  <si>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</si>
  <si>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</si>
  <si>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</si>
  <si>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</si>
  <si>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</si>
  <si>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</si>
  <si>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</si>
  <si>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</si>
  <si>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</si>
  <si>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</si>
  <si>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</si>
  <si>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</si>
  <si>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</si>
  <si>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</si>
  <si>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</si>
  <si>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</si>
  <si>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</si>
  <si>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</si>
  <si>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</si>
  <si>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</si>
  <si>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</si>
  <si>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</si>
  <si>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</si>
  <si>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</si>
  <si>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</si>
  <si>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</si>
  <si>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</si>
  <si>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</si>
  <si>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</si>
  <si>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</si>
  <si>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</si>
  <si>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</si>
  <si>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</si>
  <si>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</si>
  <si>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</si>
  <si>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</si>
  <si>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</si>
  <si>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</si>
  <si>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</si>
  <si>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</si>
  <si>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</si>
  <si>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</si>
  <si>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</si>
  <si>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</si>
  <si>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</si>
  <si>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</si>
  <si>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</si>
  <si>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</si>
  <si>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</si>
  <si>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</si>
  <si>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</si>
  <si>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</si>
  <si>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</si>
  <si>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</si>
  <si>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</si>
  <si>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</si>
  <si>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</si>
  <si>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</si>
  <si>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</si>
  <si>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</si>
  <si>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</si>
  <si>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</si>
  <si>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</si>
  <si>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</si>
  <si>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</si>
  <si>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</si>
  <si>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</si>
  <si>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</si>
  <si>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</si>
  <si>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</si>
  <si>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</si>
  <si>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</si>
  <si>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</si>
  <si>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</si>
  <si>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</si>
  <si>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</si>
  <si>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</si>
  <si>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</si>
  <si>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</si>
  <si>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</si>
  <si>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</si>
  <si>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</si>
  <si>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</si>
  <si>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</si>
  <si>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</si>
  <si>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</si>
  <si>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</si>
  <si>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</si>
  <si>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GRIDELC</t>
  </si>
  <si>
    <t>ELCAGG</t>
  </si>
  <si>
    <t>Electricity aggrigator</t>
  </si>
  <si>
    <t>Electricity from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</si>
</sst>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250</v>
      </c>
      <c r="P2" s="7" t="s">
        <v>148</v>
      </c>
      <c r="Q2" s="7" t="s">
        <v>205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247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248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249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K29" sqref="K29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265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202</v>
      </c>
      <c r="P5" s="64" t="s">
        <v>152</v>
      </c>
      <c r="Q5" s="64" t="s">
        <v>148</v>
      </c>
      <c r="R5" s="64"/>
      <c r="S5" s="137" t="s">
        <v>201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203</v>
      </c>
      <c r="P6" s="64" t="s">
        <v>153</v>
      </c>
      <c r="Q6" s="64" t="s">
        <v>148</v>
      </c>
      <c r="R6" s="64"/>
      <c r="S6" s="137" t="s">
        <v>201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204</v>
      </c>
      <c r="P7" s="64" t="s">
        <v>154</v>
      </c>
      <c r="Q7" s="64" t="s">
        <v>148</v>
      </c>
      <c r="R7" s="64"/>
      <c r="S7" s="137" t="s">
        <v>201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265</v>
      </c>
      <c r="P8" s="136" t="s">
        <v>268</v>
      </c>
      <c r="Q8" s="64" t="s">
        <v>148</v>
      </c>
      <c r="R8" s="64"/>
      <c r="S8" s="137" t="s">
        <v>201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251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201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201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201</v>
      </c>
    </row>
    <row r="26" spans="2:21" x14ac:dyDescent="0.25">
      <c r="B26" s="64" t="str">
        <f>O26</f>
        <v>GRIDELC</v>
      </c>
      <c r="C26" s="68"/>
      <c r="D26" s="136" t="str">
        <f>O8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$C$4</f>
        <v>GRIDELC</v>
      </c>
      <c r="P26" s="140" t="s">
        <v>199</v>
      </c>
      <c r="Q26" t="s">
        <v>148</v>
      </c>
      <c r="S26" s="137" t="s">
        <v>201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14" zoomScale="118" zoomScaleNormal="118" workbookViewId="0">
      <selection activeCell="D26" sqref="D26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211</v>
      </c>
      <c r="AA5" s="142" t="s">
        <v>209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200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246</v>
      </c>
      <c r="AA8" s="142" t="s">
        <v>210</v>
      </c>
      <c r="AB8" s="154" t="s">
        <v>148</v>
      </c>
      <c r="AC8" s="90"/>
      <c r="AD8" s="90"/>
      <c r="AE8" s="90"/>
      <c r="AF8" s="90"/>
    </row>
    <row r="9" spans="2:32" x14ac:dyDescent="0.25">
      <c r="X9" s="142" t="s">
        <v>46</v>
      </c>
      <c r="Y9" s="142"/>
      <c r="Z9" s="142" t="s">
        <v>46</v>
      </c>
      <c r="AA9" s="142" t="s">
        <v>85</v>
      </c>
      <c r="AB9" s="154" t="s">
        <v>148</v>
      </c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212</v>
      </c>
      <c r="F17" s="96" t="s">
        <v>262</v>
      </c>
      <c r="G17" s="96" t="s">
        <v>241</v>
      </c>
      <c r="H17" s="96" t="s">
        <v>242</v>
      </c>
      <c r="I17" s="96" t="s">
        <v>243</v>
      </c>
      <c r="J17" s="96" t="s">
        <v>244</v>
      </c>
      <c r="K17" s="96" t="s">
        <v>245</v>
      </c>
      <c r="L17" s="96" t="s">
        <v>261</v>
      </c>
      <c r="M17" s="95" t="s">
        <v>102</v>
      </c>
      <c r="N17" s="95" t="s">
        <v>103</v>
      </c>
      <c r="O17" s="95" t="s">
        <v>104</v>
      </c>
      <c r="P17" s="95" t="s">
        <v>207</v>
      </c>
      <c r="Q17" s="95" t="s">
        <v>156</v>
      </c>
      <c r="R17" s="95" t="s">
        <v>157</v>
      </c>
      <c r="S17" s="95" t="s">
        <v>253</v>
      </c>
      <c r="T17" s="95" t="s">
        <v>149</v>
      </c>
      <c r="U17" s="95" t="s">
        <v>238</v>
      </c>
      <c r="V17" s="95" t="s">
        <v>256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208</v>
      </c>
      <c r="Q18" s="97" t="s">
        <v>158</v>
      </c>
      <c r="R18" s="98" t="s">
        <v>159</v>
      </c>
      <c r="S18" s="98" t="s">
        <v>254</v>
      </c>
      <c r="T18" s="97" t="s">
        <v>150</v>
      </c>
      <c r="U18" s="97" t="s">
        <v>239</v>
      </c>
      <c r="V18" s="97" t="s">
        <v>257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206</v>
      </c>
      <c r="G19" s="100" t="s">
        <v>206</v>
      </c>
      <c r="H19" s="100" t="s">
        <v>206</v>
      </c>
      <c r="I19" s="100" t="s">
        <v>206</v>
      </c>
      <c r="J19" s="100" t="s">
        <v>206</v>
      </c>
      <c r="K19" s="100" t="s">
        <v>206</v>
      </c>
      <c r="L19" s="100" t="s">
        <v>206</v>
      </c>
      <c r="M19" s="100"/>
      <c r="N19" s="101"/>
      <c r="O19" s="100" t="s">
        <v>108</v>
      </c>
      <c r="P19" s="100"/>
      <c r="Q19" s="100" t="s">
        <v>252</v>
      </c>
      <c r="R19" s="100" t="s">
        <v>255</v>
      </c>
      <c r="S19" s="100" t="s">
        <v>264</v>
      </c>
      <c r="T19" s="100"/>
      <c r="U19" s="100" t="s">
        <v>240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201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201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263</v>
      </c>
      <c r="AA22" s="88" t="s">
        <v>198</v>
      </c>
      <c r="AB22" s="88" t="s">
        <v>148</v>
      </c>
      <c r="AC22" s="88" t="s">
        <v>142</v>
      </c>
      <c r="AD22" s="154" t="s">
        <v>201</v>
      </c>
    </row>
    <row r="23" spans="2:32" s="141" customFormat="1" x14ac:dyDescent="0.25">
      <c r="B23" s="94" t="str">
        <f>Z22</f>
        <v>MANELC_TECH</v>
      </c>
      <c r="C23" s="142" t="str">
        <f>Z9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10"/>
      <c r="S23" s="110"/>
      <c r="T23" s="104">
        <v>8.76</v>
      </c>
      <c r="U23" s="104"/>
      <c r="V23" s="104">
        <v>1</v>
      </c>
      <c r="X23" s="141" t="s">
        <v>46</v>
      </c>
      <c r="Z23" s="141" t="s">
        <v>266</v>
      </c>
      <c r="AA23" s="141" t="s">
        <v>267</v>
      </c>
      <c r="AB23" s="88" t="s">
        <v>148</v>
      </c>
      <c r="AC23" s="88" t="s">
        <v>142</v>
      </c>
      <c r="AD23" s="154" t="s">
        <v>201</v>
      </c>
    </row>
    <row r="24" spans="2:32" s="141" customFormat="1" x14ac:dyDescent="0.25">
      <c r="B24" s="94" t="s">
        <v>141</v>
      </c>
      <c r="C24" s="142"/>
      <c r="D24" s="154" t="s">
        <v>237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237</v>
      </c>
      <c r="E25" s="143"/>
      <c r="F25" s="144"/>
      <c r="G25" s="144"/>
      <c r="H25" s="144"/>
      <c r="I25" s="144"/>
      <c r="J25" s="144"/>
      <c r="K25" s="144"/>
      <c r="L25" s="144"/>
      <c r="R25" s="110"/>
      <c r="S25" s="110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 t="str">
        <f>Z23</f>
        <v>ELCAGG</v>
      </c>
      <c r="C26" s="142" t="str">
        <f>PRI_Sector_Fuels!D26</f>
        <v>GRIDELC</v>
      </c>
      <c r="D26" s="154" t="str">
        <f>Z9</f>
        <v>ELC</v>
      </c>
      <c r="E26" s="143"/>
      <c r="F26" s="144"/>
      <c r="G26" s="144"/>
      <c r="H26" s="144"/>
      <c r="I26" s="144"/>
      <c r="J26" s="144"/>
      <c r="K26" s="144"/>
      <c r="L26" s="144"/>
      <c r="M26" s="141">
        <v>1</v>
      </c>
      <c r="N26" s="141">
        <v>1</v>
      </c>
      <c r="O26" s="141">
        <v>50</v>
      </c>
      <c r="Q26" s="141">
        <v>0</v>
      </c>
      <c r="R26" s="110">
        <v>0</v>
      </c>
      <c r="S26" s="110">
        <v>0</v>
      </c>
      <c r="T26" s="110">
        <v>8.76</v>
      </c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206</v>
      </c>
      <c r="G45" s="144" t="s">
        <v>206</v>
      </c>
      <c r="H45" s="144" t="s">
        <v>206</v>
      </c>
      <c r="I45" s="144" t="s">
        <v>206</v>
      </c>
      <c r="J45" s="144" t="s">
        <v>206</v>
      </c>
      <c r="K45" s="144" t="s">
        <v>206</v>
      </c>
      <c r="L45" s="144" t="s">
        <v>206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258</v>
      </c>
      <c r="D46" s="90" t="s">
        <v>246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259</v>
      </c>
      <c r="D47" s="88" t="s">
        <v>246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260</v>
      </c>
      <c r="D48" s="88" t="s">
        <v>211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6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211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213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213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213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246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214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214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214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215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215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215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216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216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216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217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217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217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218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218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218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219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219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219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220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220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220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221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221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221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222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222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222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223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223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223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224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224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224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225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225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225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226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226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226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227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227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227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228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228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228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229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229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229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230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230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230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231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231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231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232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232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232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233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233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233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234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234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234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235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235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235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236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236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236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2026-03-13T13:42:56Z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