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31" documentId="13_ncr:1_{A1411346-4CE1-4CC3-83AA-53AFB982360B}" xr6:coauthVersionLast="47" xr6:coauthVersionMax="47" xr10:uidLastSave="{4191A22F-18BE-4F3E-99C8-C682E7BB66DA}"/>
  <bookViews>
    <workbookView xWindow="-2892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45" l="1"/>
  <c r="T12" i="145"/>
  <c r="T13" i="145"/>
  <c r="T14" i="145"/>
  <c r="T15" i="145"/>
  <c r="T16" i="145"/>
  <c r="T17" i="145"/>
  <c r="T18" i="145"/>
  <c r="T19" i="145"/>
  <c r="T20" i="145"/>
  <c r="T21" i="145"/>
  <c r="T22" i="145"/>
  <c r="T23" i="145"/>
  <c r="T24" i="145"/>
  <c r="T25" i="145"/>
  <c r="T26" i="145"/>
  <c r="T27" i="145"/>
  <c r="T28" i="145"/>
  <c r="T29" i="145"/>
  <c r="T30" i="145"/>
  <c r="T31" i="145"/>
  <c r="T32" i="145"/>
  <c r="T33" i="145"/>
  <c r="T34" i="145"/>
  <c r="T35" i="145"/>
  <c r="T36" i="145"/>
  <c r="T37" i="145"/>
  <c r="T38" i="145"/>
  <c r="T39" i="145"/>
  <c r="T40" i="145"/>
  <c r="T41" i="145"/>
  <c r="T42" i="145"/>
  <c r="T43" i="145"/>
  <c r="T44" i="145"/>
  <c r="T45" i="145"/>
  <c r="T46" i="145"/>
  <c r="T47" i="145"/>
  <c r="T48" i="145"/>
  <c r="T49" i="145"/>
  <c r="T50" i="145"/>
  <c r="T51" i="145"/>
  <c r="T52" i="145"/>
  <c r="T53" i="145"/>
  <c r="T54" i="145"/>
  <c r="T55" i="145"/>
  <c r="T56" i="145"/>
  <c r="T57" i="145"/>
  <c r="T10" i="145"/>
  <c r="O11" i="145"/>
  <c r="O12" i="145"/>
  <c r="O13" i="145"/>
  <c r="O14" i="145"/>
  <c r="O15" i="145"/>
  <c r="O16" i="145"/>
  <c r="O17" i="145"/>
  <c r="O18" i="145"/>
  <c r="O19" i="145"/>
  <c r="O20" i="145"/>
  <c r="O21" i="145"/>
  <c r="O22" i="145"/>
  <c r="O23" i="145"/>
  <c r="O24" i="145"/>
  <c r="O25" i="145"/>
  <c r="O26" i="145"/>
  <c r="O27" i="145"/>
  <c r="O28" i="145"/>
  <c r="O29" i="145"/>
  <c r="O30" i="145"/>
  <c r="O31" i="145"/>
  <c r="O32" i="145"/>
  <c r="O33" i="145"/>
  <c r="O34" i="145"/>
  <c r="O35" i="145"/>
  <c r="O36" i="145"/>
  <c r="O37" i="145"/>
  <c r="O38" i="145"/>
  <c r="O39" i="145"/>
  <c r="O40" i="145"/>
  <c r="O41" i="145"/>
  <c r="O42" i="145"/>
  <c r="O43" i="145"/>
  <c r="O44" i="145"/>
  <c r="O45" i="145"/>
  <c r="O46" i="145"/>
  <c r="O47" i="145"/>
  <c r="O48" i="145"/>
  <c r="O49" i="145"/>
  <c r="O50" i="145"/>
  <c r="O51" i="145"/>
  <c r="O52" i="145"/>
  <c r="O53" i="145"/>
  <c r="O54" i="145"/>
  <c r="O55" i="145"/>
  <c r="O56" i="145"/>
  <c r="O57" i="145"/>
  <c r="O10" i="145"/>
  <c r="J22" i="145"/>
  <c r="J23" i="145"/>
  <c r="J24" i="145"/>
  <c r="J25" i="145"/>
  <c r="J26" i="145"/>
  <c r="J27" i="145"/>
  <c r="J28" i="145"/>
  <c r="J29" i="145"/>
  <c r="L47" i="133"/>
  <c r="L48" i="133"/>
  <c r="L46" i="133"/>
  <c r="D20" i="143"/>
  <c r="E18" i="133"/>
  <c r="E9" i="145"/>
  <c r="D5" i="133"/>
  <c r="D6" i="133"/>
  <c r="J18" i="133"/>
  <c r="E10" i="145"/>
  <c r="D22" i="143"/>
  <c r="B23" i="143"/>
  <c r="E2" i="145"/>
  <c r="D21" i="143"/>
  <c r="D23" i="137"/>
  <c r="D24" i="137"/>
  <c r="D25" i="137"/>
  <c r="D18" i="133"/>
  <c r="E11" i="145"/>
  <c r="D23" i="143"/>
  <c r="C23" i="143"/>
  <c r="O26" i="137"/>
  <c r="B26" i="137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/>
  <c r="G11" i="144"/>
  <c r="G13" i="144"/>
  <c r="AB7" i="143"/>
  <c r="F2" i="143"/>
  <c r="E2" i="143"/>
  <c r="AB20" i="143"/>
  <c r="C2" i="143"/>
  <c r="AA7" i="143"/>
  <c r="B2" i="143"/>
  <c r="Z7" i="143"/>
  <c r="B9" i="146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/>
  <c r="H8" i="144"/>
  <c r="G8" i="144"/>
  <c r="F8" i="144"/>
  <c r="F11" i="144"/>
  <c r="E8" i="144"/>
  <c r="E12" i="144"/>
  <c r="D8" i="144"/>
  <c r="K6" i="144"/>
  <c r="J5" i="144"/>
  <c r="K5" i="144"/>
  <c r="M25" i="137"/>
  <c r="O25" i="137"/>
  <c r="B25" i="137"/>
  <c r="K48" i="133"/>
  <c r="B21" i="143"/>
  <c r="B20" i="143"/>
  <c r="C21" i="143"/>
  <c r="D2" i="143"/>
  <c r="D25" i="144"/>
  <c r="K17" i="144"/>
  <c r="J42" i="145"/>
  <c r="J12" i="145"/>
  <c r="J11" i="145"/>
  <c r="J45" i="145"/>
  <c r="J14" i="145"/>
  <c r="J46" i="145"/>
  <c r="J35" i="145"/>
  <c r="J20" i="145"/>
  <c r="J37" i="145"/>
  <c r="J39" i="145"/>
  <c r="J43" i="145"/>
  <c r="J10" i="145"/>
  <c r="J44" i="145"/>
  <c r="J13" i="145"/>
  <c r="J30" i="145"/>
  <c r="J51" i="145"/>
  <c r="J52" i="145"/>
  <c r="J53" i="145"/>
  <c r="J38" i="145"/>
  <c r="J55" i="145"/>
  <c r="J56" i="145"/>
  <c r="J57" i="145"/>
  <c r="J15" i="145"/>
  <c r="J31" i="145"/>
  <c r="J47" i="145"/>
  <c r="J16" i="145"/>
  <c r="J32" i="145"/>
  <c r="J48" i="145"/>
  <c r="J17" i="145"/>
  <c r="J33" i="145"/>
  <c r="J49" i="145"/>
  <c r="J18" i="145"/>
  <c r="J34" i="145"/>
  <c r="J50" i="145"/>
  <c r="J19" i="145"/>
  <c r="J36" i="145"/>
  <c r="J21" i="145"/>
  <c r="J54" i="145"/>
  <c r="J40" i="145"/>
  <c r="J41" i="145"/>
  <c r="M24" i="137"/>
  <c r="M23" i="137"/>
  <c r="G2" i="137"/>
  <c r="D2" i="137"/>
  <c r="P23" i="137"/>
  <c r="C2" i="137"/>
  <c r="I22" i="137"/>
  <c r="G22" i="137"/>
  <c r="D13" i="133"/>
  <c r="F8" i="133"/>
  <c r="K17" i="133"/>
  <c r="J13" i="133"/>
  <c r="E13" i="144"/>
  <c r="E12" i="133"/>
  <c r="E13" i="133"/>
  <c r="E8" i="133"/>
  <c r="O24" i="137"/>
  <c r="B24" i="137"/>
  <c r="J8" i="144"/>
  <c r="O23" i="137"/>
  <c r="B23" i="137"/>
  <c r="K8" i="144"/>
  <c r="K25" i="144"/>
  <c r="K12" i="144"/>
  <c r="I12" i="133"/>
  <c r="I13" i="144"/>
  <c r="J5" i="133"/>
  <c r="J8" i="133"/>
  <c r="F13" i="144"/>
  <c r="F11" i="133"/>
  <c r="P24" i="137"/>
  <c r="J11" i="144"/>
  <c r="J13" i="144"/>
  <c r="D39" i="133"/>
  <c r="D38" i="133"/>
  <c r="H8" i="133"/>
  <c r="K15" i="133"/>
  <c r="K22" i="133"/>
  <c r="K16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/>
  <c r="D25" i="133"/>
  <c r="K18" i="133"/>
  <c r="D40" i="133"/>
  <c r="AB21" i="143"/>
  <c r="D46" i="133"/>
  <c r="K46" i="133"/>
  <c r="K12" i="133"/>
  <c r="K13" i="133"/>
  <c r="K13" i="144"/>
  <c r="K5" i="133"/>
  <c r="K8" i="133"/>
  <c r="K11" i="144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<sst xmlns="http://schemas.openxmlformats.org/spreadsheetml/2006/main" count="753" uniqueCount="264">
  <si>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</si>
  <si>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</si>
  <si>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</si>
  <si>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</si>
  <si>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</si>
  <si>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</si>
  <si>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</si>
  <si>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</si>
  <si>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</si>
  <si>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</si>
  <si>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</si>
  <si>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</si>
  <si>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</si>
  <si>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</si>
  <si>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</si>
  <si>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</si>
  <si>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</si>
  <si>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</si>
  <si>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</si>
  <si>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</si>
  <si>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</si>
  <si>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</si>
  <si>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</si>
  <si>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</si>
  <si>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</si>
  <si>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</si>
  <si>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</si>
  <si>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</si>
  <si>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</si>
  <si>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</si>
  <si>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</si>
  <si>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</si>
  <si>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</si>
  <si>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</si>
  <si>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</si>
  <si>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</si>
  <si>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</si>
  <si>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</si>
  <si>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</si>
  <si>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</si>
  <si>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</si>
  <si>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</si>
  <si>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</si>
  <si>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</si>
  <si>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</si>
  <si>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</si>
  <si>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</si>
  <si>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</si>
  <si>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</si>
  <si>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</si>
  <si>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</si>
  <si>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</si>
  <si>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</si>
  <si>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</si>
  <si>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</si>
  <si>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</si>
  <si>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</si>
  <si>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</si>
  <si>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</si>
  <si>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</si>
  <si>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</si>
  <si>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</si>
  <si>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</si>
  <si>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</si>
  <si>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</si>
  <si>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</si>
  <si>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</si>
  <si>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</si>
  <si>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</si>
  <si>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</si>
  <si>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</si>
  <si>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</si>
  <si>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</si>
  <si>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</si>
  <si>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</si>
  <si>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</si>
  <si>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</si>
  <si>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</si>
  <si>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</si>
  <si>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</si>
  <si>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</si>
  <si>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</si>
  <si>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</si>
  <si>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</si>
  <si>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</si>
  <si>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</si>
  <si>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</si>
  <si>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</si>
  <si>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</si>
  <si>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</si>
  <si>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</si>
  <si>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</si>
  <si>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</si>
  <si>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</si>
  <si>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</si>
  <si>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</si>
  <si>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</si>
  <si>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</si>
  <si>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</si>
  <si>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</si>
  <si>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</si>
  <si>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</si>
  <si>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</si>
  <si>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</si>
  <si>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</si>
  <si>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</si>
  <si>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</si>
  <si>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</si>
  <si>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</si>
  <si>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</si>
  <si>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</si>
  <si>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</si>
  <si>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</si>
  <si>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</si>
  <si>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</si>
  <si>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</si>
  <si>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</si>
  <si>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</si>
  <si>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</si>
  <si>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</si>
  <si>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</si>
  <si>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</si>
  <si>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</si>
  <si>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</si>
  <si>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</si>
  <si>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</si>
  <si>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</si>
  <si>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</si>
  <si>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</si>
  <si>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</si>
  <si>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</si>
  <si>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</si>
  <si>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</si>
  <si>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</si>
  <si>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</si>
  <si>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</si>
  <si>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</si>
  <si>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</si>
  <si>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</si>
  <si>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</si>
  <si>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</si>
  <si>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</si>
  <si>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</si>
  <si>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</si>
  <si>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</si>
  <si>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</si>
  <si>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</si>
  <si>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</si>
  <si>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</si>
  <si>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</si>
  <si>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</si>
  <si>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</si>
  <si>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</si>
  <si>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</si>
  <si>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</si>
  <si>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</si>
  <si>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</si>
  <si>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</si>
  <si>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</si>
  <si>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</si>
  <si>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</si>
  <si>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</si>
  <si>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</si>
  <si>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</si>
  <si>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</si>
  <si>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</si>
  <si>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</si>
  <si>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</si>
  <si>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</si>
  <si>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</si>
  <si>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</si>
  <si>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</si>
  <si>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</si>
  <si>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</si>
  <si>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</si>
  <si>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</si>
  <si>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</si>
  <si>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</si>
  <si>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</si>
  <si>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</si>
  <si>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</si>
  <si>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</si>
  <si>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</si>
  <si>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</si>
  <si>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</si>
  <si>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</si>
  <si>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</si>
  <si>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</si>
  <si>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</si>
  <si>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</si>
  <si>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</si>
  <si>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</si>
  <si>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</si>
  <si>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</si>
  <si>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</si>
  <si>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</si>
  <si>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</si>
  <si>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</si>
  <si>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</si>
  <si>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</si>
  <si>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</si>
  <si>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</si>
  <si>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</si>
  <si>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</si>
  <si>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</si>
  <si>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</si>
  <si>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</si>
  <si>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</si>
  <si>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</si>
  <si>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</si>
  <si>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</si>
  <si>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</si>
  <si>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</si>
  <si>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</si>
  <si>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</si>
  <si>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</si>
  <si>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</si>
  <si>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</si>
  <si>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</si>
  <si>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</si>
  <si>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</si>
  <si>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</si>
  <si>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</si>
  <si>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</si>
  <si>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</si>
  <si>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</si>
  <si>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</si>
  <si>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</si>
  <si>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</si>
  <si>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</si>
  <si>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</si>
  <si>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</si>
  <si>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</si>
  <si>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</si>
  <si>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</si>
  <si>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</si>
  <si>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</si>
  <si>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</si>
  <si>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</si>
  <si>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</si>
  <si>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</si>
  <si>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</si>
  <si>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</si>
  <si>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</si>
  <si>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</si>
  <si>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</si>
  <si>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</si>
  <si>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</si>
  <si>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</si>
  <si>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</si>
  <si>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</si>
  <si>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</si>
  <si>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</si>
  <si>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</si>
  <si>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</si>
  <si>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</si>
  <si>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</si>
  <si>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</si>
  <si>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</si>
  <si>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</si>
  <si>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Value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</si>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</sst>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%"/>
    <numFmt numFmtId="168" formatCode="0.000000000"/>
    <numFmt numFmtId="169" formatCode="0.000"/>
    <numFmt numFmtId="170" formatCode="0.00000000000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7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8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70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3" fillId="16" borderId="0" xfId="31" applyFont="1" applyFill="1" applyBorder="1" applyAlignment="1">
      <alignment horizontal="left" wrapText="1"/>
    </xf>
    <xf numFmtId="1" fontId="33" fillId="16" borderId="0" xfId="31" applyNumberFormat="1" applyFont="1" applyFill="1" applyBorder="1" applyAlignment="1">
      <alignment horizontal="left" wrapText="1"/>
    </xf>
    <xf numFmtId="169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166" fontId="37" fillId="0" borderId="0" xfId="0" applyNumberFormat="1" applyFont="1"/>
    <xf numFmtId="0" fontId="37" fillId="0" borderId="0" xfId="0" applyFont="1"/>
    <xf numFmtId="166" fontId="37" fillId="0" borderId="0" xfId="0" applyNumberFormat="1" applyFont="1" applyAlignment="1">
      <alignment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32</xdr:row>
      <xdr:rowOff>65943</xdr:rowOff>
    </xdr:from>
    <xdr:to>
      <xdr:col>26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36" zoomScale="122" zoomScaleNormal="122" workbookViewId="0">
      <selection activeCell="H29" sqref="H29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2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203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25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1"/>
      <c r="H26" s="5"/>
      <c r="I26" s="5"/>
      <c r="J26" s="5"/>
      <c r="K26" s="5"/>
    </row>
    <row r="27" spans="2:12" x14ac:dyDescent="0.25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zoomScale="96" zoomScaleNormal="96" workbookViewId="0">
      <selection activeCell="N23" sqref="N23:N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38"/>
      <c r="D5" s="138"/>
      <c r="E5" s="77"/>
      <c r="F5" s="138"/>
      <c r="G5" s="7"/>
      <c r="M5" s="64" t="s">
        <v>74</v>
      </c>
      <c r="N5" s="68"/>
      <c r="O5" s="195" t="s">
        <v>261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38"/>
      <c r="D6" s="138"/>
      <c r="E6" s="77"/>
      <c r="F6" s="138"/>
      <c r="G6" s="7"/>
      <c r="M6" s="64" t="s">
        <v>74</v>
      </c>
      <c r="N6" s="68"/>
      <c r="O6" s="195" t="s">
        <v>262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38"/>
      <c r="D7" s="138"/>
      <c r="E7" s="77"/>
      <c r="F7" s="138"/>
      <c r="G7" s="7"/>
      <c r="M7" s="64" t="s">
        <v>74</v>
      </c>
      <c r="N7" s="68"/>
      <c r="O7" s="195" t="s">
        <v>263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204</v>
      </c>
      <c r="Q8" s="64" t="s">
        <v>148</v>
      </c>
      <c r="R8" s="64"/>
      <c r="S8" s="64"/>
      <c r="T8" s="64"/>
      <c r="U8" s="64"/>
    </row>
    <row r="9" spans="2:21" ht="15.75" x14ac:dyDescent="0.25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8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59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0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4">
        <v>3333333.3</v>
      </c>
      <c r="H23" s="183">
        <v>8.0665446383744062</v>
      </c>
      <c r="I23" s="87"/>
      <c r="J23" s="113">
        <v>8.76</v>
      </c>
      <c r="K23" s="161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1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1"/>
      <c r="M25" t="str">
        <f>EBF!B6</f>
        <v>IMP</v>
      </c>
      <c r="N25" s="68"/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3">
        <v>100</v>
      </c>
      <c r="I26" s="87"/>
      <c r="J26" s="113">
        <v>8.76</v>
      </c>
      <c r="K26" s="161"/>
      <c r="M26" s="196" t="s">
        <v>46</v>
      </c>
      <c r="N26" s="68"/>
      <c r="O26" s="195" t="str">
        <f>$M$26&amp;$C$4</f>
        <v>ELCGRID</v>
      </c>
      <c r="P26" s="197" t="s">
        <v>200</v>
      </c>
      <c r="Q26" t="s">
        <v>148</v>
      </c>
      <c r="S26" s="137" t="s">
        <v>202</v>
      </c>
    </row>
    <row r="27" spans="2:21" x14ac:dyDescent="0.2">
      <c r="B27" s="147"/>
      <c r="C27" s="147"/>
      <c r="D27" s="136"/>
      <c r="E27" s="146"/>
      <c r="F27" s="138"/>
      <c r="G27" s="138"/>
      <c r="H27" s="162"/>
      <c r="I27" s="166"/>
      <c r="J27" s="162"/>
      <c r="K27" s="162"/>
      <c r="M27" s="138"/>
      <c r="N27" s="68"/>
      <c r="O27" s="139"/>
      <c r="P27" s="140"/>
      <c r="Q27" s="138"/>
    </row>
    <row r="28" spans="2:21" x14ac:dyDescent="0.2">
      <c r="B28" s="147"/>
      <c r="C28" s="147"/>
      <c r="D28" s="136"/>
      <c r="E28" s="146"/>
      <c r="F28" s="138"/>
      <c r="G28" s="138"/>
      <c r="H28" s="162"/>
      <c r="I28" s="166"/>
      <c r="J28" s="162"/>
      <c r="K28" s="162"/>
      <c r="M28" s="146"/>
      <c r="N28" s="146"/>
      <c r="O28" s="147"/>
      <c r="P28" s="149"/>
      <c r="Q28" s="146"/>
    </row>
    <row r="29" spans="2:21" x14ac:dyDescent="0.2">
      <c r="B29" s="147"/>
      <c r="C29" s="147"/>
      <c r="D29" s="147"/>
      <c r="E29" s="146"/>
      <c r="F29" s="138"/>
      <c r="G29" s="138"/>
      <c r="H29" s="162"/>
      <c r="I29" s="166"/>
      <c r="J29" s="162"/>
      <c r="K29" s="162"/>
      <c r="M29" s="146"/>
      <c r="N29" s="146"/>
      <c r="O29" s="147"/>
      <c r="P29" s="149"/>
      <c r="Q29" s="146"/>
    </row>
    <row r="30" spans="2:21" x14ac:dyDescent="0.2">
      <c r="B30" s="147"/>
      <c r="C30" s="147"/>
      <c r="D30" s="147"/>
      <c r="E30" s="146"/>
      <c r="F30" s="138"/>
      <c r="G30" s="138"/>
      <c r="H30" s="162"/>
      <c r="I30" s="166"/>
      <c r="J30" s="162"/>
      <c r="K30" s="162"/>
      <c r="M30" s="137"/>
      <c r="O30" s="147"/>
      <c r="P30" s="149"/>
      <c r="Q30" s="146"/>
    </row>
    <row r="31" spans="2:21" x14ac:dyDescent="0.2">
      <c r="B31" s="147"/>
      <c r="C31" s="147"/>
      <c r="D31" s="147"/>
      <c r="E31" s="146"/>
      <c r="F31" s="138"/>
      <c r="G31" s="138"/>
      <c r="H31" s="162"/>
      <c r="I31" s="166"/>
      <c r="J31" s="162"/>
      <c r="K31" s="162"/>
      <c r="M31" s="137"/>
      <c r="O31" s="136"/>
      <c r="P31" s="148"/>
      <c r="Q31" s="146"/>
    </row>
    <row r="32" spans="2:21" x14ac:dyDescent="0.2">
      <c r="B32" s="139"/>
      <c r="C32" s="139"/>
      <c r="D32" s="139"/>
      <c r="E32" s="138"/>
      <c r="F32" s="138"/>
      <c r="G32" s="138"/>
      <c r="H32" s="162"/>
      <c r="I32" s="166"/>
      <c r="J32" s="162"/>
      <c r="K32" s="162"/>
      <c r="O32" s="68"/>
      <c r="P32" s="70"/>
    </row>
    <row r="33" spans="1:24" x14ac:dyDescent="0.2">
      <c r="B33" s="64"/>
      <c r="C33" s="68"/>
      <c r="D33" s="136"/>
      <c r="E33" s="1"/>
      <c r="F33" s="1"/>
      <c r="H33" s="161"/>
      <c r="I33" s="166"/>
      <c r="J33" s="161"/>
      <c r="K33" s="161"/>
      <c r="O33" s="68"/>
      <c r="P33" s="70"/>
    </row>
    <row r="34" spans="1:24" x14ac:dyDescent="0.2">
      <c r="B34" s="64"/>
      <c r="C34" s="68"/>
      <c r="D34" s="136"/>
      <c r="E34" s="1"/>
      <c r="F34" s="1"/>
      <c r="H34" s="161"/>
      <c r="I34" s="166"/>
      <c r="J34" s="161"/>
      <c r="K34" s="161"/>
      <c r="O34" s="68"/>
      <c r="P34" s="70"/>
    </row>
    <row r="35" spans="1:24" x14ac:dyDescent="0.2">
      <c r="B35" s="64"/>
      <c r="C35" s="68"/>
      <c r="D35" s="136"/>
      <c r="E35" s="1"/>
      <c r="F35" s="1"/>
      <c r="H35" s="161"/>
      <c r="I35" s="166"/>
      <c r="J35" s="161"/>
      <c r="K35" s="161"/>
      <c r="O35" s="68"/>
      <c r="P35" s="70"/>
    </row>
    <row r="36" spans="1:24" x14ac:dyDescent="0.2">
      <c r="B36" s="64"/>
      <c r="C36" s="68"/>
      <c r="D36" s="136"/>
      <c r="E36" s="1"/>
      <c r="F36" s="1"/>
      <c r="H36" s="161"/>
      <c r="I36" s="166"/>
      <c r="J36" s="161"/>
      <c r="K36" s="161"/>
      <c r="O36" s="68"/>
      <c r="P36" s="70"/>
    </row>
    <row r="37" spans="1:24" x14ac:dyDescent="0.2">
      <c r="B37" s="64"/>
      <c r="D37" s="64"/>
      <c r="E37" s="1"/>
      <c r="F37" s="1"/>
      <c r="H37" s="161"/>
      <c r="I37" s="166"/>
      <c r="J37" s="161"/>
      <c r="K37" s="161"/>
      <c r="O37" s="68"/>
      <c r="P37" s="70"/>
    </row>
    <row r="38" spans="1:24" x14ac:dyDescent="0.2">
      <c r="H38" s="157"/>
      <c r="I38" s="157"/>
      <c r="J38" s="157"/>
    </row>
    <row r="39" spans="1:24" x14ac:dyDescent="0.2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5"/>
  <sheetViews>
    <sheetView zoomScale="118" zoomScaleNormal="118" workbookViewId="0">
      <selection activeCell="Y10" sqref="Y10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142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142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2" t="s">
        <v>82</v>
      </c>
      <c r="Y8" s="142"/>
      <c r="Z8" s="142" t="s">
        <v>249</v>
      </c>
      <c r="AA8" s="142" t="s">
        <v>210</v>
      </c>
      <c r="AB8" s="153" t="s">
        <v>148</v>
      </c>
      <c r="AC8" s="90"/>
      <c r="AD8" s="90"/>
      <c r="AE8" s="90"/>
      <c r="AF8" s="90"/>
    </row>
    <row r="9" spans="2:32" x14ac:dyDescent="0.2">
      <c r="X9" s="142"/>
      <c r="Y9" s="142"/>
      <c r="Z9" s="142"/>
      <c r="AA9" s="142"/>
      <c r="AB9" s="153"/>
      <c r="AC9" s="90"/>
      <c r="AD9" s="90"/>
      <c r="AE9" s="90"/>
      <c r="AF9" s="90"/>
    </row>
    <row r="10" spans="2:32" x14ac:dyDescent="0.2">
      <c r="X10" s="165"/>
      <c r="Y10" s="165"/>
      <c r="Z10" s="165"/>
      <c r="AA10" s="165"/>
      <c r="AB10" s="153"/>
      <c r="AC10" s="90"/>
      <c r="AD10" s="90"/>
      <c r="AE10" s="90"/>
      <c r="AF10" s="90"/>
    </row>
    <row r="11" spans="2:32" x14ac:dyDescent="0.2">
      <c r="X11" s="153"/>
      <c r="Y11" s="90"/>
      <c r="Z11" s="153"/>
      <c r="AA11" s="153"/>
      <c r="AB11" s="153"/>
      <c r="AC11" s="90"/>
      <c r="AD11" s="90"/>
      <c r="AE11" s="90"/>
      <c r="AF11" s="90"/>
    </row>
    <row r="12" spans="2:32" x14ac:dyDescent="0.2">
      <c r="X12" s="153"/>
      <c r="Y12" s="90"/>
      <c r="Z12" s="153"/>
      <c r="AA12" s="153"/>
      <c r="AB12" s="153"/>
      <c r="AC12" s="90"/>
      <c r="AD12" s="90"/>
      <c r="AE12" s="90"/>
      <c r="AF12" s="90"/>
    </row>
    <row r="13" spans="2:32" x14ac:dyDescent="0.2">
      <c r="X13" s="153"/>
      <c r="Y13" s="90"/>
      <c r="Z13" s="153"/>
      <c r="AA13" s="153"/>
      <c r="AB13" s="153"/>
      <c r="AC13" s="90"/>
      <c r="AD13" s="90"/>
      <c r="AE13" s="90"/>
      <c r="AF13" s="90"/>
    </row>
    <row r="14" spans="2:32" x14ac:dyDescent="0.2">
      <c r="X14" s="153"/>
      <c r="Y14" s="90"/>
      <c r="Z14" s="153"/>
      <c r="AA14" s="153"/>
      <c r="AB14" s="153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213</v>
      </c>
      <c r="F17" s="96" t="s">
        <v>243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242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239</v>
      </c>
      <c r="V17" s="154"/>
      <c r="W17" s="154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240</v>
      </c>
      <c r="V18" s="155"/>
      <c r="W18" s="155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 t="s">
        <v>205</v>
      </c>
      <c r="N19" s="101" t="s">
        <v>205</v>
      </c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241</v>
      </c>
      <c r="V19" s="156"/>
      <c r="W19" s="156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1"/>
      <c r="H20" s="181"/>
      <c r="I20" s="181"/>
      <c r="J20" s="181"/>
      <c r="K20" s="181"/>
      <c r="L20" s="181"/>
      <c r="M20" s="103">
        <v>0.55000000000000004</v>
      </c>
      <c r="N20" s="103">
        <v>1</v>
      </c>
      <c r="O20" s="121">
        <v>25</v>
      </c>
      <c r="P20" s="121"/>
      <c r="Q20" s="193">
        <v>628.9</v>
      </c>
      <c r="R20" s="194">
        <v>4.46</v>
      </c>
      <c r="S20" s="194">
        <v>0.45</v>
      </c>
      <c r="T20" s="104">
        <v>8.76</v>
      </c>
      <c r="U20" s="104"/>
      <c r="V20" s="110"/>
      <c r="W20" s="110"/>
      <c r="X20" s="145" t="s">
        <v>212</v>
      </c>
      <c r="Y20" s="145"/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3" t="s">
        <v>202</v>
      </c>
      <c r="AE20" s="153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93">
        <v>628.9</v>
      </c>
      <c r="R21" s="194">
        <v>4.46</v>
      </c>
      <c r="S21" s="194">
        <v>0.45</v>
      </c>
      <c r="T21" s="104">
        <v>8.76</v>
      </c>
      <c r="U21" s="104"/>
      <c r="V21" s="110"/>
      <c r="W21" s="110"/>
      <c r="X21" s="145" t="s">
        <v>212</v>
      </c>
      <c r="Y21" s="145"/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3" t="s">
        <v>202</v>
      </c>
      <c r="AE21" s="153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93">
        <v>62.9</v>
      </c>
      <c r="R22" s="194">
        <v>2.2999999999999998</v>
      </c>
      <c r="S22" s="194">
        <v>1.82</v>
      </c>
      <c r="T22" s="104">
        <v>8.76</v>
      </c>
      <c r="U22" s="104"/>
      <c r="V22" s="110"/>
      <c r="W22" s="110"/>
      <c r="X22" s="88" t="s">
        <v>109</v>
      </c>
      <c r="Y22" s="145"/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206</v>
      </c>
    </row>
    <row r="23" spans="2:32" s="141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Y23" s="145"/>
      <c r="Z23" s="141" t="s">
        <v>249</v>
      </c>
      <c r="AA23" s="141" t="s">
        <v>210</v>
      </c>
      <c r="AB23" s="88" t="s">
        <v>148</v>
      </c>
      <c r="AC23" s="88" t="s">
        <v>142</v>
      </c>
      <c r="AD23" s="151" t="s">
        <v>206</v>
      </c>
    </row>
    <row r="24" spans="2:32" s="141" customFormat="1" x14ac:dyDescent="0.2">
      <c r="B24" s="94" t="s">
        <v>141</v>
      </c>
      <c r="C24" s="142"/>
      <c r="D24" s="153" t="s">
        <v>238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">
      <c r="B25" s="94" t="s">
        <v>143</v>
      </c>
      <c r="C25" s="142"/>
      <c r="D25" s="153" t="s">
        <v>238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">
      <c r="B26" s="94"/>
      <c r="C26" s="142"/>
      <c r="D26" s="153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x14ac:dyDescent="0.2">
      <c r="B27" s="145"/>
      <c r="C27" s="90"/>
      <c r="D27" s="90"/>
      <c r="E27" s="143"/>
      <c r="F27" s="144"/>
      <c r="G27" s="144"/>
      <c r="H27" s="144"/>
      <c r="I27" s="144"/>
      <c r="J27" s="144"/>
      <c r="K27" s="144"/>
      <c r="L27" s="144"/>
      <c r="M27" s="141"/>
      <c r="N27" s="141"/>
      <c r="O27" s="141"/>
      <c r="P27" s="141"/>
      <c r="Q27" s="141"/>
    </row>
    <row r="28" spans="2:32" x14ac:dyDescent="0.2">
      <c r="B28" s="145"/>
      <c r="C28" s="90"/>
      <c r="D28" s="142"/>
      <c r="E28" s="143"/>
      <c r="F28" s="144"/>
      <c r="G28" s="144"/>
      <c r="H28" s="144"/>
      <c r="I28" s="144"/>
      <c r="J28" s="144"/>
      <c r="K28" s="144"/>
      <c r="L28" s="144"/>
      <c r="M28" s="141"/>
      <c r="N28" s="141"/>
      <c r="O28" s="141"/>
      <c r="P28" s="141"/>
      <c r="Q28" s="141"/>
    </row>
    <row r="29" spans="2:32" x14ac:dyDescent="0.2">
      <c r="E29" s="145"/>
      <c r="F29" s="106"/>
      <c r="G29" s="106"/>
      <c r="H29" s="106"/>
      <c r="I29" s="106"/>
      <c r="J29" s="106"/>
      <c r="K29" s="106"/>
      <c r="L29" s="106"/>
      <c r="N29" s="164"/>
      <c r="Q29" s="164"/>
      <c r="AB29" s="90"/>
      <c r="AC29" s="90"/>
      <c r="AD29" s="151"/>
    </row>
    <row r="30" spans="2:32" x14ac:dyDescent="0.2">
      <c r="E30" s="145"/>
      <c r="F30" s="106"/>
      <c r="G30" s="106"/>
      <c r="H30" s="106"/>
      <c r="I30" s="106"/>
      <c r="J30" s="106"/>
      <c r="K30" s="106"/>
      <c r="L30" s="106"/>
      <c r="N30" s="164"/>
      <c r="Q30" s="164"/>
      <c r="Y30" s="110"/>
      <c r="AA30" s="110"/>
      <c r="AB30" s="111"/>
      <c r="AC30" s="111"/>
    </row>
    <row r="31" spans="2:32" x14ac:dyDescent="0.2">
      <c r="E31" s="145"/>
      <c r="F31" s="106"/>
      <c r="G31" s="106"/>
      <c r="H31" s="106"/>
      <c r="I31" s="106"/>
      <c r="J31" s="106"/>
      <c r="K31" s="106"/>
      <c r="L31" s="106"/>
      <c r="N31" s="107"/>
      <c r="Q31" s="164"/>
    </row>
    <row r="32" spans="2:32" x14ac:dyDescent="0.2">
      <c r="E32" s="145"/>
      <c r="N32" s="107"/>
      <c r="O32" s="106"/>
      <c r="Q32" s="164"/>
    </row>
    <row r="33" spans="2:20" x14ac:dyDescent="0.2">
      <c r="B33" s="104"/>
      <c r="C33" s="88" t="s">
        <v>97</v>
      </c>
      <c r="N33" s="107"/>
    </row>
    <row r="34" spans="2:20" x14ac:dyDescent="0.2">
      <c r="B34" s="108"/>
      <c r="C34" s="88" t="s">
        <v>98</v>
      </c>
      <c r="N34" s="107"/>
    </row>
    <row r="35" spans="2:20" x14ac:dyDescent="0.2">
      <c r="N35" s="107"/>
    </row>
    <row r="38" spans="2:20" x14ac:dyDescent="0.2">
      <c r="E38" s="21"/>
    </row>
    <row r="41" spans="2:20" x14ac:dyDescent="0.2">
      <c r="B41" s="94"/>
      <c r="C41" s="142"/>
      <c r="D41" s="90"/>
      <c r="E41" s="143"/>
      <c r="F41" s="144"/>
      <c r="G41" s="144"/>
      <c r="H41" s="144"/>
      <c r="I41" s="144"/>
      <c r="J41" s="144"/>
      <c r="K41" s="144"/>
      <c r="L41" s="144"/>
      <c r="M41" s="141"/>
      <c r="N41" s="141"/>
      <c r="O41" s="141"/>
      <c r="P41" s="141"/>
      <c r="Q41" s="141"/>
      <c r="R41" s="141"/>
      <c r="S41" s="141"/>
      <c r="T41" s="141"/>
    </row>
    <row r="42" spans="2:20" x14ac:dyDescent="0.2">
      <c r="B42" s="94"/>
      <c r="C42" s="142"/>
      <c r="D42" s="90"/>
      <c r="E42" s="143"/>
      <c r="F42" s="144"/>
      <c r="G42" s="144"/>
      <c r="H42" s="144"/>
      <c r="I42" s="144"/>
      <c r="J42" s="144"/>
      <c r="K42" s="144"/>
      <c r="L42" s="144"/>
      <c r="M42" s="141"/>
      <c r="N42" s="141"/>
      <c r="O42" s="141"/>
      <c r="P42" s="141"/>
      <c r="Q42" s="141"/>
      <c r="R42" s="141"/>
      <c r="S42" s="141"/>
      <c r="T42" s="141"/>
    </row>
    <row r="46" spans="2:20" x14ac:dyDescent="0.2">
      <c r="H46" s="179"/>
      <c r="I46" s="180"/>
    </row>
    <row r="49" spans="6:9" x14ac:dyDescent="0.2">
      <c r="G49" s="145"/>
      <c r="I49" s="145"/>
    </row>
    <row r="50" spans="6:9" x14ac:dyDescent="0.2">
      <c r="G50" s="145"/>
    </row>
    <row r="51" spans="6:9" s="94" customFormat="1" x14ac:dyDescent="0.2">
      <c r="H51" s="143"/>
    </row>
    <row r="52" spans="6:9" x14ac:dyDescent="0.2">
      <c r="F52" s="145"/>
      <c r="G52" s="145"/>
    </row>
    <row r="54" spans="6:9" x14ac:dyDescent="0.2">
      <c r="F54" s="145"/>
    </row>
    <row r="55" spans="6:9" x14ac:dyDescent="0.2">
      <c r="F55" s="145"/>
      <c r="H55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V59"/>
  <sheetViews>
    <sheetView topLeftCell="A8" zoomScale="226" zoomScaleNormal="226" workbookViewId="0">
      <selection activeCell="C5" sqref="C5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8" width="11" bestFit="1" customWidth="1"/>
    <col min="9" max="14" width="8.140625" customWidth="1"/>
    <col min="15" max="15" width="13.140625" customWidth="1"/>
    <col min="16" max="16" width="10.5703125" bestFit="1" customWidth="1"/>
    <col min="17" max="17" width="5.7109375" bestFit="1" customWidth="1"/>
    <col min="18" max="18" width="5.42578125" customWidth="1"/>
    <col min="19" max="19" width="9" bestFit="1" customWidth="1"/>
    <col min="20" max="20" width="19.140625" bestFit="1" customWidth="1"/>
    <col min="21" max="21" width="10.5703125" bestFit="1" customWidth="1"/>
    <col min="22" max="22" width="5.7109375" bestFit="1" customWidth="1"/>
  </cols>
  <sheetData>
    <row r="1" spans="2:22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2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2" x14ac:dyDescent="0.2">
      <c r="C5" s="115" t="s">
        <v>13</v>
      </c>
      <c r="D5" s="115"/>
      <c r="E5" s="1"/>
    </row>
    <row r="6" spans="2:22" x14ac:dyDescent="0.2">
      <c r="B6" s="114" t="s">
        <v>160</v>
      </c>
      <c r="C6" s="114" t="s">
        <v>0</v>
      </c>
      <c r="D6" s="114" t="s">
        <v>161</v>
      </c>
      <c r="E6" s="114">
        <v>2022</v>
      </c>
      <c r="K6" s="115" t="s">
        <v>13</v>
      </c>
      <c r="L6" s="1"/>
      <c r="P6" s="115" t="s">
        <v>13</v>
      </c>
      <c r="Q6" s="1"/>
      <c r="U6" s="115" t="s">
        <v>13</v>
      </c>
      <c r="V6" s="1"/>
    </row>
    <row r="7" spans="2:22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I7" s="114" t="s">
        <v>160</v>
      </c>
      <c r="J7" s="114" t="s">
        <v>0</v>
      </c>
      <c r="K7" s="114" t="s">
        <v>166</v>
      </c>
      <c r="L7" s="114" t="s">
        <v>260</v>
      </c>
      <c r="N7" s="114" t="s">
        <v>160</v>
      </c>
      <c r="O7" s="114" t="s">
        <v>0</v>
      </c>
      <c r="P7" s="114" t="s">
        <v>166</v>
      </c>
      <c r="Q7" s="114" t="s">
        <v>260</v>
      </c>
      <c r="S7" s="114" t="s">
        <v>160</v>
      </c>
      <c r="T7" s="114" t="s">
        <v>0</v>
      </c>
      <c r="U7" s="114" t="s">
        <v>166</v>
      </c>
      <c r="V7" s="114" t="s">
        <v>260</v>
      </c>
    </row>
    <row r="8" spans="2:22" ht="34.5" thickBot="1" x14ac:dyDescent="0.25">
      <c r="B8" s="116" t="s">
        <v>87</v>
      </c>
      <c r="C8" s="116"/>
      <c r="D8" s="116"/>
      <c r="E8" s="116" t="s">
        <v>148</v>
      </c>
      <c r="I8" s="120" t="s">
        <v>81</v>
      </c>
      <c r="J8" s="120" t="s">
        <v>162</v>
      </c>
      <c r="K8" s="120"/>
      <c r="L8" s="120"/>
      <c r="N8" s="120" t="s">
        <v>81</v>
      </c>
      <c r="O8" s="120" t="s">
        <v>162</v>
      </c>
      <c r="P8" s="120"/>
      <c r="Q8" s="120"/>
      <c r="S8" s="120" t="s">
        <v>81</v>
      </c>
      <c r="T8" s="120" t="s">
        <v>162</v>
      </c>
      <c r="U8" s="120"/>
      <c r="V8" s="120"/>
    </row>
    <row r="9" spans="2:22" s="20" customFormat="1" ht="15" thickBot="1" x14ac:dyDescent="0.25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/>
      <c r="I9" s="9" t="s">
        <v>87</v>
      </c>
      <c r="J9" s="9"/>
      <c r="K9" s="9" t="s">
        <v>166</v>
      </c>
      <c r="L9" s="9"/>
      <c r="N9" s="9" t="s">
        <v>87</v>
      </c>
      <c r="O9" s="9"/>
      <c r="P9" s="9" t="s">
        <v>166</v>
      </c>
      <c r="Q9" s="9"/>
      <c r="S9" s="9" t="s">
        <v>87</v>
      </c>
      <c r="T9" s="9"/>
      <c r="U9" s="9" t="s">
        <v>166</v>
      </c>
      <c r="V9" s="9"/>
    </row>
    <row r="10" spans="2:22" s="20" customFormat="1" ht="14.25" x14ac:dyDescent="0.2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/>
      <c r="I10" s="1" t="s">
        <v>167</v>
      </c>
      <c r="J10" s="1" t="str">
        <f>DemTechs_INDF!Z$6</f>
        <v>MANELC</v>
      </c>
      <c r="K10" s="145" t="s">
        <v>214</v>
      </c>
      <c r="L10" s="190">
        <v>3.1580002137548593E-2</v>
      </c>
      <c r="M10" s="191"/>
      <c r="N10" s="1" t="s">
        <v>167</v>
      </c>
      <c r="O10" s="1" t="str">
        <f>DemTechs_INDF!Z$5</f>
        <v>MANHEAT</v>
      </c>
      <c r="P10" s="145" t="s">
        <v>214</v>
      </c>
      <c r="Q10" s="190">
        <v>3.1580002137548593E-2</v>
      </c>
      <c r="S10" s="1" t="s">
        <v>167</v>
      </c>
      <c r="T10" s="1" t="str">
        <f>DemTechs_INDF!Z$8</f>
        <v>CEMENTHEAT</v>
      </c>
      <c r="U10" s="145" t="s">
        <v>214</v>
      </c>
      <c r="V10" s="190">
        <v>3.1580002137548593E-2</v>
      </c>
    </row>
    <row r="11" spans="2:22" s="157" customFormat="1" ht="14.25" x14ac:dyDescent="0.2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/>
      <c r="I11" s="1" t="s">
        <v>167</v>
      </c>
      <c r="J11" s="1" t="str">
        <f>DemTechs_INDF!Z$6</f>
        <v>MANELC</v>
      </c>
      <c r="K11" s="177" t="s">
        <v>215</v>
      </c>
      <c r="L11" s="190">
        <v>3.1850630527954941E-2</v>
      </c>
      <c r="M11" s="192"/>
      <c r="N11" s="1" t="s">
        <v>167</v>
      </c>
      <c r="O11" s="1" t="str">
        <f>DemTechs_INDF!Z$5</f>
        <v>MANHEAT</v>
      </c>
      <c r="P11" s="177" t="s">
        <v>215</v>
      </c>
      <c r="Q11" s="190">
        <v>3.1850630527954941E-2</v>
      </c>
      <c r="S11" s="1" t="s">
        <v>167</v>
      </c>
      <c r="T11" s="1" t="str">
        <f>DemTechs_INDF!Z$8</f>
        <v>CEMENTHEAT</v>
      </c>
      <c r="U11" s="177" t="s">
        <v>215</v>
      </c>
      <c r="V11" s="190">
        <v>3.1850630527954941E-2</v>
      </c>
    </row>
    <row r="12" spans="2:22" x14ac:dyDescent="0.2">
      <c r="B12" s="135"/>
      <c r="C12" s="135"/>
      <c r="D12" s="135"/>
      <c r="E12" s="135"/>
      <c r="I12" s="1" t="s">
        <v>167</v>
      </c>
      <c r="J12" s="1" t="str">
        <f>DemTechs_INDF!Z$6</f>
        <v>MANELC</v>
      </c>
      <c r="K12" s="145" t="s">
        <v>216</v>
      </c>
      <c r="L12" s="190">
        <v>3.1481989955747081E-2</v>
      </c>
      <c r="M12" s="185"/>
      <c r="N12" s="1" t="s">
        <v>167</v>
      </c>
      <c r="O12" s="1" t="str">
        <f>DemTechs_INDF!Z$5</f>
        <v>MANHEAT</v>
      </c>
      <c r="P12" s="145" t="s">
        <v>216</v>
      </c>
      <c r="Q12" s="190">
        <v>3.1481989955747081E-2</v>
      </c>
      <c r="S12" s="1" t="s">
        <v>167</v>
      </c>
      <c r="T12" s="1" t="str">
        <f>DemTechs_INDF!Z$8</f>
        <v>CEMENTHEAT</v>
      </c>
      <c r="U12" s="145" t="s">
        <v>216</v>
      </c>
      <c r="V12" s="190">
        <v>3.1481989955747081E-2</v>
      </c>
    </row>
    <row r="13" spans="2:22" x14ac:dyDescent="0.2">
      <c r="B13" s="176"/>
      <c r="C13" s="176"/>
      <c r="D13" s="176"/>
      <c r="E13" s="187"/>
      <c r="F13" s="187"/>
      <c r="G13" s="187"/>
      <c r="H13" s="187"/>
      <c r="I13" s="1" t="s">
        <v>167</v>
      </c>
      <c r="J13" s="1" t="str">
        <f>DemTechs_INDF!Z$6</f>
        <v>MANELC</v>
      </c>
      <c r="K13" s="177" t="s">
        <v>217</v>
      </c>
      <c r="L13" s="190">
        <v>3.1731466950130557E-2</v>
      </c>
      <c r="M13" s="185"/>
      <c r="N13" s="1" t="s">
        <v>167</v>
      </c>
      <c r="O13" s="1" t="str">
        <f>DemTechs_INDF!Z$5</f>
        <v>MANHEAT</v>
      </c>
      <c r="P13" s="177" t="s">
        <v>217</v>
      </c>
      <c r="Q13" s="190">
        <v>3.1731466950130557E-2</v>
      </c>
      <c r="S13" s="1" t="s">
        <v>167</v>
      </c>
      <c r="T13" s="1" t="str">
        <f>DemTechs_INDF!Z$8</f>
        <v>CEMENTHEAT</v>
      </c>
      <c r="U13" s="177" t="s">
        <v>217</v>
      </c>
      <c r="V13" s="190">
        <v>3.1731466950130557E-2</v>
      </c>
    </row>
    <row r="14" spans="2:22" x14ac:dyDescent="0.2">
      <c r="B14" s="176"/>
      <c r="C14" s="176"/>
      <c r="D14" s="176"/>
      <c r="E14" s="176"/>
      <c r="F14" s="187"/>
      <c r="G14" s="187"/>
      <c r="H14" s="187"/>
      <c r="I14" s="1" t="s">
        <v>167</v>
      </c>
      <c r="J14" s="1" t="str">
        <f>DemTechs_INDF!Z$6</f>
        <v>MANELC</v>
      </c>
      <c r="K14" s="145" t="s">
        <v>218</v>
      </c>
      <c r="L14" s="190">
        <v>3.1860835358240212E-2</v>
      </c>
      <c r="M14" s="185"/>
      <c r="N14" s="1" t="s">
        <v>167</v>
      </c>
      <c r="O14" s="1" t="str">
        <f>DemTechs_INDF!Z$5</f>
        <v>MANHEAT</v>
      </c>
      <c r="P14" s="145" t="s">
        <v>218</v>
      </c>
      <c r="Q14" s="190">
        <v>3.1860835358240212E-2</v>
      </c>
      <c r="S14" s="1" t="s">
        <v>167</v>
      </c>
      <c r="T14" s="1" t="str">
        <f>DemTechs_INDF!Z$8</f>
        <v>CEMENTHEAT</v>
      </c>
      <c r="U14" s="145" t="s">
        <v>218</v>
      </c>
      <c r="V14" s="190">
        <v>3.1860835358240212E-2</v>
      </c>
    </row>
    <row r="15" spans="2:22" ht="14.25" x14ac:dyDescent="0.2">
      <c r="B15" s="188"/>
      <c r="C15" s="188"/>
      <c r="D15" s="188"/>
      <c r="E15" s="189"/>
      <c r="F15" s="189"/>
      <c r="G15" s="189"/>
      <c r="H15" s="189"/>
      <c r="I15" s="1" t="s">
        <v>167</v>
      </c>
      <c r="J15" s="1" t="str">
        <f>DemTechs_INDF!Z$6</f>
        <v>MANELC</v>
      </c>
      <c r="K15" s="177" t="s">
        <v>219</v>
      </c>
      <c r="L15" s="190">
        <v>3.2394250106746E-2</v>
      </c>
      <c r="M15" s="185"/>
      <c r="N15" s="1" t="s">
        <v>167</v>
      </c>
      <c r="O15" s="1" t="str">
        <f>DemTechs_INDF!Z$5</f>
        <v>MANHEAT</v>
      </c>
      <c r="P15" s="177" t="s">
        <v>219</v>
      </c>
      <c r="Q15" s="190">
        <v>3.2394250106746E-2</v>
      </c>
      <c r="S15" s="1" t="s">
        <v>167</v>
      </c>
      <c r="T15" s="1" t="str">
        <f>DemTechs_INDF!Z$8</f>
        <v>CEMENTHEAT</v>
      </c>
      <c r="U15" s="177" t="s">
        <v>219</v>
      </c>
      <c r="V15" s="190">
        <v>3.2394250106746E-2</v>
      </c>
    </row>
    <row r="16" spans="2:22" ht="14.25" x14ac:dyDescent="0.2">
      <c r="B16" s="188"/>
      <c r="C16" s="188"/>
      <c r="D16" s="188"/>
      <c r="E16" s="189"/>
      <c r="F16" s="189"/>
      <c r="G16" s="189"/>
      <c r="H16" s="189"/>
      <c r="I16" s="1" t="s">
        <v>167</v>
      </c>
      <c r="J16" s="1" t="str">
        <f>DemTechs_INDF!Z$6</f>
        <v>MANELC</v>
      </c>
      <c r="K16" s="145" t="s">
        <v>220</v>
      </c>
      <c r="L16" s="190">
        <v>3.241825303092484E-2</v>
      </c>
      <c r="M16" s="185"/>
      <c r="N16" s="1" t="s">
        <v>167</v>
      </c>
      <c r="O16" s="1" t="str">
        <f>DemTechs_INDF!Z$5</f>
        <v>MANHEAT</v>
      </c>
      <c r="P16" s="145" t="s">
        <v>220</v>
      </c>
      <c r="Q16" s="190">
        <v>3.241825303092484E-2</v>
      </c>
      <c r="S16" s="1" t="s">
        <v>167</v>
      </c>
      <c r="T16" s="1" t="str">
        <f>DemTechs_INDF!Z$8</f>
        <v>CEMENTHEAT</v>
      </c>
      <c r="U16" s="145" t="s">
        <v>220</v>
      </c>
      <c r="V16" s="190">
        <v>3.241825303092484E-2</v>
      </c>
    </row>
    <row r="17" spans="4:22" x14ac:dyDescent="0.2">
      <c r="I17" t="s">
        <v>167</v>
      </c>
      <c r="J17" t="str">
        <f>DemTechs_INDF!Z$6</f>
        <v>MANELC</v>
      </c>
      <c r="K17" t="s">
        <v>221</v>
      </c>
      <c r="L17" s="190">
        <v>3.5569395862328948E-2</v>
      </c>
      <c r="M17" s="185"/>
      <c r="N17" t="s">
        <v>167</v>
      </c>
      <c r="O17" s="1" t="str">
        <f>DemTechs_INDF!Z$5</f>
        <v>MANHEAT</v>
      </c>
      <c r="P17" t="s">
        <v>221</v>
      </c>
      <c r="Q17" s="190">
        <v>3.5569395862328948E-2</v>
      </c>
      <c r="S17" t="s">
        <v>167</v>
      </c>
      <c r="T17" s="1" t="str">
        <f>DemTechs_INDF!Z$8</f>
        <v>CEMENTHEAT</v>
      </c>
      <c r="U17" t="s">
        <v>221</v>
      </c>
      <c r="V17" s="190">
        <v>3.5569395862328948E-2</v>
      </c>
    </row>
    <row r="18" spans="4:22" x14ac:dyDescent="0.2">
      <c r="I18" s="1" t="s">
        <v>167</v>
      </c>
      <c r="J18" s="1" t="str">
        <f>DemTechs_INDF!Z$6</f>
        <v>MANELC</v>
      </c>
      <c r="K18" s="145" t="s">
        <v>222</v>
      </c>
      <c r="L18" s="190">
        <v>5.0064684062236839E-2</v>
      </c>
      <c r="M18" s="185"/>
      <c r="N18" s="1" t="s">
        <v>167</v>
      </c>
      <c r="O18" s="1" t="str">
        <f>DemTechs_INDF!Z$5</f>
        <v>MANHEAT</v>
      </c>
      <c r="P18" s="145" t="s">
        <v>222</v>
      </c>
      <c r="Q18" s="190">
        <v>5.0064684062236839E-2</v>
      </c>
      <c r="S18" s="1" t="s">
        <v>167</v>
      </c>
      <c r="T18" s="1" t="str">
        <f>DemTechs_INDF!Z$8</f>
        <v>CEMENTHEAT</v>
      </c>
      <c r="U18" s="145" t="s">
        <v>222</v>
      </c>
      <c r="V18" s="190">
        <v>5.0064684062236839E-2</v>
      </c>
    </row>
    <row r="19" spans="4:22" x14ac:dyDescent="0.2">
      <c r="I19" t="s">
        <v>167</v>
      </c>
      <c r="J19" t="str">
        <f>DemTechs_INDF!Z$6</f>
        <v>MANELC</v>
      </c>
      <c r="K19" t="s">
        <v>223</v>
      </c>
      <c r="L19" s="190">
        <v>6.1132650490749271E-2</v>
      </c>
      <c r="M19" s="185"/>
      <c r="N19" t="s">
        <v>167</v>
      </c>
      <c r="O19" s="1" t="str">
        <f>DemTechs_INDF!Z$5</f>
        <v>MANHEAT</v>
      </c>
      <c r="P19" t="s">
        <v>223</v>
      </c>
      <c r="Q19" s="190">
        <v>6.1132650490749271E-2</v>
      </c>
      <c r="S19" t="s">
        <v>167</v>
      </c>
      <c r="T19" s="1" t="str">
        <f>DemTechs_INDF!Z$8</f>
        <v>CEMENTHEAT</v>
      </c>
      <c r="U19" t="s">
        <v>223</v>
      </c>
      <c r="V19" s="190">
        <v>6.1132650490749271E-2</v>
      </c>
    </row>
    <row r="20" spans="4:22" x14ac:dyDescent="0.2">
      <c r="I20" t="s">
        <v>167</v>
      </c>
      <c r="J20" t="str">
        <f>DemTechs_INDF!Z$6</f>
        <v>MANELC</v>
      </c>
      <c r="K20" t="s">
        <v>224</v>
      </c>
      <c r="L20" s="190">
        <v>6.011628522297266E-2</v>
      </c>
      <c r="M20" s="185"/>
      <c r="N20" t="s">
        <v>167</v>
      </c>
      <c r="O20" s="1" t="str">
        <f>DemTechs_INDF!Z$5</f>
        <v>MANHEAT</v>
      </c>
      <c r="P20" t="s">
        <v>224</v>
      </c>
      <c r="Q20" s="190">
        <v>6.011628522297266E-2</v>
      </c>
      <c r="S20" t="s">
        <v>167</v>
      </c>
      <c r="T20" s="1" t="str">
        <f>DemTechs_INDF!Z$8</f>
        <v>CEMENTHEAT</v>
      </c>
      <c r="U20" t="s">
        <v>224</v>
      </c>
      <c r="V20" s="190">
        <v>6.011628522297266E-2</v>
      </c>
    </row>
    <row r="21" spans="4:22" x14ac:dyDescent="0.2">
      <c r="I21" t="s">
        <v>167</v>
      </c>
      <c r="J21" t="str">
        <f>DemTechs_INDF!Z$6</f>
        <v>MANELC</v>
      </c>
      <c r="K21" t="s">
        <v>225</v>
      </c>
      <c r="L21" s="190">
        <v>6.2041439521472716E-2</v>
      </c>
      <c r="M21" s="185"/>
      <c r="N21" t="s">
        <v>167</v>
      </c>
      <c r="O21" s="1" t="str">
        <f>DemTechs_INDF!Z$5</f>
        <v>MANHEAT</v>
      </c>
      <c r="P21" t="s">
        <v>225</v>
      </c>
      <c r="Q21" s="190">
        <v>6.2041439521472716E-2</v>
      </c>
      <c r="S21" t="s">
        <v>167</v>
      </c>
      <c r="T21" s="1" t="str">
        <f>DemTechs_INDF!Z$8</f>
        <v>CEMENTHEAT</v>
      </c>
      <c r="U21" t="s">
        <v>225</v>
      </c>
      <c r="V21" s="190">
        <v>6.2041439521472716E-2</v>
      </c>
    </row>
    <row r="22" spans="4:22" x14ac:dyDescent="0.2">
      <c r="I22" t="s">
        <v>167</v>
      </c>
      <c r="J22" t="str">
        <f>DemTechs_INDF!Z$6</f>
        <v>MANELC</v>
      </c>
      <c r="K22" t="s">
        <v>226</v>
      </c>
      <c r="L22" s="190">
        <v>5.0238563001630904E-2</v>
      </c>
      <c r="M22" s="185"/>
      <c r="N22" t="s">
        <v>167</v>
      </c>
      <c r="O22" s="1" t="str">
        <f>DemTechs_INDF!Z$5</f>
        <v>MANHEAT</v>
      </c>
      <c r="P22" t="s">
        <v>226</v>
      </c>
      <c r="Q22" s="190">
        <v>5.0238563001630904E-2</v>
      </c>
      <c r="S22" t="s">
        <v>167</v>
      </c>
      <c r="T22" s="1" t="str">
        <f>DemTechs_INDF!Z$8</f>
        <v>CEMENTHEAT</v>
      </c>
      <c r="U22" t="s">
        <v>226</v>
      </c>
      <c r="V22" s="190">
        <v>5.0238563001630904E-2</v>
      </c>
    </row>
    <row r="23" spans="4:22" x14ac:dyDescent="0.2">
      <c r="E23" s="186"/>
      <c r="F23" s="186"/>
      <c r="G23" s="186"/>
      <c r="H23" s="186"/>
      <c r="I23" t="s">
        <v>167</v>
      </c>
      <c r="J23" t="str">
        <f>DemTechs_INDF!Z$6</f>
        <v>MANELC</v>
      </c>
      <c r="K23" t="s">
        <v>227</v>
      </c>
      <c r="L23" s="190">
        <v>5.3184386397899165E-2</v>
      </c>
      <c r="M23" s="185"/>
      <c r="N23" t="s">
        <v>167</v>
      </c>
      <c r="O23" s="1" t="str">
        <f>DemTechs_INDF!Z$5</f>
        <v>MANHEAT</v>
      </c>
      <c r="P23" t="s">
        <v>227</v>
      </c>
      <c r="Q23" s="190">
        <v>5.3184386397899165E-2</v>
      </c>
      <c r="S23" t="s">
        <v>167</v>
      </c>
      <c r="T23" s="1" t="str">
        <f>DemTechs_INDF!Z$8</f>
        <v>CEMENTHEAT</v>
      </c>
      <c r="U23" t="s">
        <v>227</v>
      </c>
      <c r="V23" s="190">
        <v>5.3184386397899165E-2</v>
      </c>
    </row>
    <row r="24" spans="4:22" x14ac:dyDescent="0.2">
      <c r="I24" t="s">
        <v>167</v>
      </c>
      <c r="J24" t="str">
        <f>DemTechs_INDF!Z$6</f>
        <v>MANELC</v>
      </c>
      <c r="K24" t="s">
        <v>228</v>
      </c>
      <c r="L24" s="190">
        <v>5.7662395688403471E-2</v>
      </c>
      <c r="M24" s="185"/>
      <c r="N24" t="s">
        <v>167</v>
      </c>
      <c r="O24" s="1" t="str">
        <f>DemTechs_INDF!Z$5</f>
        <v>MANHEAT</v>
      </c>
      <c r="P24" t="s">
        <v>228</v>
      </c>
      <c r="Q24" s="190">
        <v>5.7662395688403471E-2</v>
      </c>
      <c r="S24" t="s">
        <v>167</v>
      </c>
      <c r="T24" s="1" t="str">
        <f>DemTechs_INDF!Z$8</f>
        <v>CEMENTHEAT</v>
      </c>
      <c r="U24" t="s">
        <v>228</v>
      </c>
      <c r="V24" s="190">
        <v>5.7662395688403471E-2</v>
      </c>
    </row>
    <row r="25" spans="4:22" x14ac:dyDescent="0.2">
      <c r="I25" t="s">
        <v>167</v>
      </c>
      <c r="J25" t="str">
        <f>DemTechs_INDF!Z$6</f>
        <v>MANELC</v>
      </c>
      <c r="K25" t="s">
        <v>229</v>
      </c>
      <c r="L25" s="190">
        <v>5.8557745224525878E-2</v>
      </c>
      <c r="M25" s="185"/>
      <c r="N25" t="s">
        <v>167</v>
      </c>
      <c r="O25" s="1" t="str">
        <f>DemTechs_INDF!Z$5</f>
        <v>MANHEAT</v>
      </c>
      <c r="P25" t="s">
        <v>229</v>
      </c>
      <c r="Q25" s="190">
        <v>5.8557745224525878E-2</v>
      </c>
      <c r="S25" t="s">
        <v>167</v>
      </c>
      <c r="T25" s="1" t="str">
        <f>DemTechs_INDF!Z$8</f>
        <v>CEMENTHEAT</v>
      </c>
      <c r="U25" t="s">
        <v>229</v>
      </c>
      <c r="V25" s="190">
        <v>5.8557745224525878E-2</v>
      </c>
    </row>
    <row r="26" spans="4:22" x14ac:dyDescent="0.2">
      <c r="D26" s="109"/>
      <c r="E26" s="163"/>
      <c r="F26" s="163"/>
      <c r="G26" s="163"/>
      <c r="H26" s="163"/>
      <c r="I26" t="s">
        <v>167</v>
      </c>
      <c r="J26" t="str">
        <f>DemTechs_INDF!Z$6</f>
        <v>MANELC</v>
      </c>
      <c r="K26" t="s">
        <v>230</v>
      </c>
      <c r="L26" s="190">
        <v>5.4169812257972488E-2</v>
      </c>
      <c r="M26" s="185"/>
      <c r="N26" t="s">
        <v>167</v>
      </c>
      <c r="O26" s="1" t="str">
        <f>DemTechs_INDF!Z$5</f>
        <v>MANHEAT</v>
      </c>
      <c r="P26" t="s">
        <v>230</v>
      </c>
      <c r="Q26" s="190">
        <v>5.4169812257972488E-2</v>
      </c>
      <c r="S26" t="s">
        <v>167</v>
      </c>
      <c r="T26" s="1" t="str">
        <f>DemTechs_INDF!Z$8</f>
        <v>CEMENTHEAT</v>
      </c>
      <c r="U26" t="s">
        <v>230</v>
      </c>
      <c r="V26" s="190">
        <v>5.4169812257972488E-2</v>
      </c>
    </row>
    <row r="27" spans="4:22" x14ac:dyDescent="0.2">
      <c r="D27" s="109"/>
      <c r="E27" s="5"/>
      <c r="I27" t="s">
        <v>167</v>
      </c>
      <c r="J27" t="str">
        <f>DemTechs_INDF!Z$6</f>
        <v>MANELC</v>
      </c>
      <c r="K27" t="s">
        <v>231</v>
      </c>
      <c r="L27" s="190">
        <v>4.1857004866670537E-2</v>
      </c>
      <c r="M27" s="185"/>
      <c r="N27" t="s">
        <v>167</v>
      </c>
      <c r="O27" s="1" t="str">
        <f>DemTechs_INDF!Z$5</f>
        <v>MANHEAT</v>
      </c>
      <c r="P27" t="s">
        <v>231</v>
      </c>
      <c r="Q27" s="190">
        <v>4.1857004866670537E-2</v>
      </c>
      <c r="S27" t="s">
        <v>167</v>
      </c>
      <c r="T27" s="1" t="str">
        <f>DemTechs_INDF!Z$8</f>
        <v>CEMENTHEAT</v>
      </c>
      <c r="U27" t="s">
        <v>231</v>
      </c>
      <c r="V27" s="190">
        <v>4.1857004866670537E-2</v>
      </c>
    </row>
    <row r="28" spans="4:22" x14ac:dyDescent="0.2">
      <c r="D28" s="109"/>
      <c r="E28" s="109"/>
      <c r="F28" s="109"/>
      <c r="G28" s="109"/>
      <c r="H28" s="109"/>
      <c r="I28" t="s">
        <v>167</v>
      </c>
      <c r="J28" t="str">
        <f>DemTechs_INDF!Z$6</f>
        <v>MANELC</v>
      </c>
      <c r="K28" t="s">
        <v>232</v>
      </c>
      <c r="L28" s="190">
        <v>3.3691520594468241E-2</v>
      </c>
      <c r="M28" s="185"/>
      <c r="N28" t="s">
        <v>167</v>
      </c>
      <c r="O28" s="1" t="str">
        <f>DemTechs_INDF!Z$5</f>
        <v>MANHEAT</v>
      </c>
      <c r="P28" t="s">
        <v>232</v>
      </c>
      <c r="Q28" s="190">
        <v>3.3691520594468241E-2</v>
      </c>
      <c r="S28" t="s">
        <v>167</v>
      </c>
      <c r="T28" s="1" t="str">
        <f>DemTechs_INDF!Z$8</f>
        <v>CEMENTHEAT</v>
      </c>
      <c r="U28" t="s">
        <v>232</v>
      </c>
      <c r="V28" s="190">
        <v>3.3691520594468241E-2</v>
      </c>
    </row>
    <row r="29" spans="4:22" x14ac:dyDescent="0.2">
      <c r="D29" s="109"/>
      <c r="E29" s="109"/>
      <c r="F29" s="109"/>
      <c r="G29" s="109"/>
      <c r="H29" s="109"/>
      <c r="I29" t="s">
        <v>167</v>
      </c>
      <c r="J29" t="str">
        <f>DemTechs_INDF!Z$6</f>
        <v>MANELC</v>
      </c>
      <c r="K29" t="s">
        <v>233</v>
      </c>
      <c r="L29" s="190">
        <v>3.2906492752302938E-2</v>
      </c>
      <c r="M29" s="185"/>
      <c r="N29" t="s">
        <v>167</v>
      </c>
      <c r="O29" s="1" t="str">
        <f>DemTechs_INDF!Z$5</f>
        <v>MANHEAT</v>
      </c>
      <c r="P29" t="s">
        <v>233</v>
      </c>
      <c r="Q29" s="190">
        <v>3.2906492752302938E-2</v>
      </c>
      <c r="S29" t="s">
        <v>167</v>
      </c>
      <c r="T29" s="1" t="str">
        <f>DemTechs_INDF!Z$8</f>
        <v>CEMENTHEAT</v>
      </c>
      <c r="U29" t="s">
        <v>233</v>
      </c>
      <c r="V29" s="190">
        <v>3.2906492752302938E-2</v>
      </c>
    </row>
    <row r="30" spans="4:22" x14ac:dyDescent="0.2">
      <c r="I30" s="1" t="s">
        <v>167</v>
      </c>
      <c r="J30" s="1" t="str">
        <f>DemTechs_INDF!Z$6</f>
        <v>MANELC</v>
      </c>
      <c r="K30" s="145" t="s">
        <v>234</v>
      </c>
      <c r="L30" s="190">
        <v>3.20626233861286E-2</v>
      </c>
      <c r="M30" s="185"/>
      <c r="N30" s="1" t="s">
        <v>167</v>
      </c>
      <c r="O30" s="1" t="str">
        <f>DemTechs_INDF!Z$5</f>
        <v>MANHEAT</v>
      </c>
      <c r="P30" s="145" t="s">
        <v>234</v>
      </c>
      <c r="Q30" s="190">
        <v>3.20626233861286E-2</v>
      </c>
      <c r="S30" s="1" t="s">
        <v>167</v>
      </c>
      <c r="T30" s="1" t="str">
        <f>DemTechs_INDF!Z$8</f>
        <v>CEMENTHEAT</v>
      </c>
      <c r="U30" s="145" t="s">
        <v>234</v>
      </c>
      <c r="V30" s="190">
        <v>3.20626233861286E-2</v>
      </c>
    </row>
    <row r="31" spans="4:22" x14ac:dyDescent="0.2">
      <c r="I31" s="1" t="s">
        <v>167</v>
      </c>
      <c r="J31" s="1" t="str">
        <f>DemTechs_INDF!Z$6</f>
        <v>MANELC</v>
      </c>
      <c r="K31" s="177" t="s">
        <v>235</v>
      </c>
      <c r="L31" s="190">
        <v>3.1700774081405016E-2</v>
      </c>
      <c r="M31" s="185"/>
      <c r="N31" s="1" t="s">
        <v>167</v>
      </c>
      <c r="O31" s="1" t="str">
        <f>DemTechs_INDF!Z$5</f>
        <v>MANHEAT</v>
      </c>
      <c r="P31" s="177" t="s">
        <v>235</v>
      </c>
      <c r="Q31" s="190">
        <v>3.1700774081405016E-2</v>
      </c>
      <c r="S31" s="1" t="s">
        <v>167</v>
      </c>
      <c r="T31" s="1" t="str">
        <f>DemTechs_INDF!Z$8</f>
        <v>CEMENTHEAT</v>
      </c>
      <c r="U31" s="177" t="s">
        <v>235</v>
      </c>
      <c r="V31" s="190">
        <v>3.1700774081405016E-2</v>
      </c>
    </row>
    <row r="32" spans="4:22" x14ac:dyDescent="0.2">
      <c r="E32" s="5"/>
      <c r="I32" s="1" t="s">
        <v>167</v>
      </c>
      <c r="J32" s="1" t="str">
        <f>DemTechs_INDF!Z$6</f>
        <v>MANELC</v>
      </c>
      <c r="K32" s="145" t="s">
        <v>236</v>
      </c>
      <c r="L32" s="190">
        <v>3.0548494068914959E-2</v>
      </c>
      <c r="M32" s="185"/>
      <c r="N32" s="1" t="s">
        <v>167</v>
      </c>
      <c r="O32" s="1" t="str">
        <f>DemTechs_INDF!Z$5</f>
        <v>MANHEAT</v>
      </c>
      <c r="P32" s="145" t="s">
        <v>236</v>
      </c>
      <c r="Q32" s="190">
        <v>3.0548494068914959E-2</v>
      </c>
      <c r="S32" s="1" t="s">
        <v>167</v>
      </c>
      <c r="T32" s="1" t="str">
        <f>DemTechs_INDF!Z$8</f>
        <v>CEMENTHEAT</v>
      </c>
      <c r="U32" s="145" t="s">
        <v>236</v>
      </c>
      <c r="V32" s="190">
        <v>3.0548494068914959E-2</v>
      </c>
    </row>
    <row r="33" spans="2:22" x14ac:dyDescent="0.2">
      <c r="B33" s="1"/>
      <c r="E33" s="5"/>
      <c r="I33" s="1" t="s">
        <v>167</v>
      </c>
      <c r="J33" s="1" t="str">
        <f>DemTechs_INDF!Z$6</f>
        <v>MANELC</v>
      </c>
      <c r="K33" s="177" t="s">
        <v>237</v>
      </c>
      <c r="L33" s="190">
        <v>3.117830445262517E-2</v>
      </c>
      <c r="M33" s="185"/>
      <c r="N33" s="1" t="s">
        <v>167</v>
      </c>
      <c r="O33" s="1" t="str">
        <f>DemTechs_INDF!Z$5</f>
        <v>MANHEAT</v>
      </c>
      <c r="P33" s="177" t="s">
        <v>237</v>
      </c>
      <c r="Q33" s="190">
        <v>3.117830445262517E-2</v>
      </c>
      <c r="S33" s="1" t="s">
        <v>167</v>
      </c>
      <c r="T33" s="1" t="str">
        <f>DemTechs_INDF!Z$8</f>
        <v>CEMENTHEAT</v>
      </c>
      <c r="U33" s="177" t="s">
        <v>237</v>
      </c>
      <c r="V33" s="190">
        <v>3.117830445262517E-2</v>
      </c>
    </row>
    <row r="34" spans="2:22" x14ac:dyDescent="0.2">
      <c r="B34" s="1"/>
      <c r="I34" s="1" t="s">
        <v>167</v>
      </c>
      <c r="J34" s="1" t="str">
        <f>DemTechs_INDF!Z$6</f>
        <v>MANELC</v>
      </c>
      <c r="K34" t="s">
        <v>168</v>
      </c>
      <c r="L34" s="190">
        <v>3.1580002137548593E-2</v>
      </c>
      <c r="N34" s="1" t="s">
        <v>167</v>
      </c>
      <c r="O34" s="1" t="str">
        <f>DemTechs_INDF!Z$5</f>
        <v>MANHEAT</v>
      </c>
      <c r="P34" t="s">
        <v>168</v>
      </c>
      <c r="Q34" s="190">
        <v>3.1580002137548593E-2</v>
      </c>
      <c r="S34" s="1" t="s">
        <v>167</v>
      </c>
      <c r="T34" s="1" t="str">
        <f>DemTechs_INDF!Z$8</f>
        <v>CEMENTHEAT</v>
      </c>
      <c r="U34" t="s">
        <v>168</v>
      </c>
      <c r="V34" s="190">
        <v>3.1580002137548593E-2</v>
      </c>
    </row>
    <row r="35" spans="2:22" x14ac:dyDescent="0.2">
      <c r="I35" s="1" t="s">
        <v>167</v>
      </c>
      <c r="J35" s="1" t="str">
        <f>DemTechs_INDF!Z$6</f>
        <v>MANELC</v>
      </c>
      <c r="K35" t="s">
        <v>169</v>
      </c>
      <c r="L35" s="190">
        <v>3.1850630527954941E-2</v>
      </c>
      <c r="N35" s="1" t="s">
        <v>167</v>
      </c>
      <c r="O35" s="1" t="str">
        <f>DemTechs_INDF!Z$5</f>
        <v>MANHEAT</v>
      </c>
      <c r="P35" t="s">
        <v>169</v>
      </c>
      <c r="Q35" s="190">
        <v>3.1850630527954941E-2</v>
      </c>
      <c r="S35" s="1" t="s">
        <v>167</v>
      </c>
      <c r="T35" s="1" t="str">
        <f>DemTechs_INDF!Z$8</f>
        <v>CEMENTHEAT</v>
      </c>
      <c r="U35" t="s">
        <v>169</v>
      </c>
      <c r="V35" s="190">
        <v>3.1850630527954941E-2</v>
      </c>
    </row>
    <row r="36" spans="2:22" x14ac:dyDescent="0.2">
      <c r="B36" s="118"/>
      <c r="C36" s="1" t="s">
        <v>97</v>
      </c>
      <c r="I36" s="1" t="s">
        <v>167</v>
      </c>
      <c r="J36" s="1" t="str">
        <f>DemTechs_INDF!Z$6</f>
        <v>MANELC</v>
      </c>
      <c r="K36" t="s">
        <v>170</v>
      </c>
      <c r="L36" s="190">
        <v>3.1481989955747081E-2</v>
      </c>
      <c r="N36" s="1" t="s">
        <v>167</v>
      </c>
      <c r="O36" s="1" t="str">
        <f>DemTechs_INDF!Z$5</f>
        <v>MANHEAT</v>
      </c>
      <c r="P36" t="s">
        <v>170</v>
      </c>
      <c r="Q36" s="190">
        <v>3.1481989955747081E-2</v>
      </c>
      <c r="S36" s="1" t="s">
        <v>167</v>
      </c>
      <c r="T36" s="1" t="str">
        <f>DemTechs_INDF!Z$8</f>
        <v>CEMENTHEAT</v>
      </c>
      <c r="U36" t="s">
        <v>170</v>
      </c>
      <c r="V36" s="190">
        <v>3.1481989955747081E-2</v>
      </c>
    </row>
    <row r="37" spans="2:22" x14ac:dyDescent="0.2">
      <c r="B37" s="47"/>
      <c r="C37" s="1" t="s">
        <v>98</v>
      </c>
      <c r="I37" s="1" t="s">
        <v>167</v>
      </c>
      <c r="J37" s="1" t="str">
        <f>DemTechs_INDF!Z$6</f>
        <v>MANELC</v>
      </c>
      <c r="K37" t="s">
        <v>171</v>
      </c>
      <c r="L37" s="190">
        <v>3.1731466950130557E-2</v>
      </c>
      <c r="N37" s="1" t="s">
        <v>167</v>
      </c>
      <c r="O37" s="1" t="str">
        <f>DemTechs_INDF!Z$5</f>
        <v>MANHEAT</v>
      </c>
      <c r="P37" t="s">
        <v>171</v>
      </c>
      <c r="Q37" s="190">
        <v>3.1731466950130557E-2</v>
      </c>
      <c r="S37" s="1" t="s">
        <v>167</v>
      </c>
      <c r="T37" s="1" t="str">
        <f>DemTechs_INDF!Z$8</f>
        <v>CEMENTHEAT</v>
      </c>
      <c r="U37" t="s">
        <v>171</v>
      </c>
      <c r="V37" s="190">
        <v>3.1731466950130557E-2</v>
      </c>
    </row>
    <row r="38" spans="2:22" x14ac:dyDescent="0.2">
      <c r="I38" s="1" t="s">
        <v>167</v>
      </c>
      <c r="J38" s="1" t="str">
        <f>DemTechs_INDF!Z$6</f>
        <v>MANELC</v>
      </c>
      <c r="K38" t="s">
        <v>172</v>
      </c>
      <c r="L38" s="190">
        <v>3.1860835358240212E-2</v>
      </c>
      <c r="N38" s="1" t="s">
        <v>167</v>
      </c>
      <c r="O38" s="1" t="str">
        <f>DemTechs_INDF!Z$5</f>
        <v>MANHEAT</v>
      </c>
      <c r="P38" t="s">
        <v>172</v>
      </c>
      <c r="Q38" s="190">
        <v>3.1860835358240212E-2</v>
      </c>
      <c r="S38" s="1" t="s">
        <v>167</v>
      </c>
      <c r="T38" s="1" t="str">
        <f>DemTechs_INDF!Z$8</f>
        <v>CEMENTHEAT</v>
      </c>
      <c r="U38" t="s">
        <v>172</v>
      </c>
      <c r="V38" s="190">
        <v>3.1860835358240212E-2</v>
      </c>
    </row>
    <row r="39" spans="2:22" x14ac:dyDescent="0.2">
      <c r="I39" s="1" t="s">
        <v>167</v>
      </c>
      <c r="J39" s="1" t="str">
        <f>DemTechs_INDF!Z$6</f>
        <v>MANELC</v>
      </c>
      <c r="K39" t="s">
        <v>173</v>
      </c>
      <c r="L39" s="190">
        <v>3.2394250106746E-2</v>
      </c>
      <c r="N39" s="1" t="s">
        <v>167</v>
      </c>
      <c r="O39" s="1" t="str">
        <f>DemTechs_INDF!Z$5</f>
        <v>MANHEAT</v>
      </c>
      <c r="P39" t="s">
        <v>173</v>
      </c>
      <c r="Q39" s="190">
        <v>3.2394250106746E-2</v>
      </c>
      <c r="S39" s="1" t="s">
        <v>167</v>
      </c>
      <c r="T39" s="1" t="str">
        <f>DemTechs_INDF!Z$8</f>
        <v>CEMENTHEAT</v>
      </c>
      <c r="U39" t="s">
        <v>173</v>
      </c>
      <c r="V39" s="190">
        <v>3.2394250106746E-2</v>
      </c>
    </row>
    <row r="40" spans="2:22" x14ac:dyDescent="0.2">
      <c r="I40" s="1" t="s">
        <v>167</v>
      </c>
      <c r="J40" s="1" t="str">
        <f>DemTechs_INDF!Z$6</f>
        <v>MANELC</v>
      </c>
      <c r="K40" t="s">
        <v>174</v>
      </c>
      <c r="L40" s="190">
        <v>3.241825303092484E-2</v>
      </c>
      <c r="N40" s="1" t="s">
        <v>167</v>
      </c>
      <c r="O40" s="1" t="str">
        <f>DemTechs_INDF!Z$5</f>
        <v>MANHEAT</v>
      </c>
      <c r="P40" t="s">
        <v>174</v>
      </c>
      <c r="Q40" s="190">
        <v>3.241825303092484E-2</v>
      </c>
      <c r="S40" s="1" t="s">
        <v>167</v>
      </c>
      <c r="T40" s="1" t="str">
        <f>DemTechs_INDF!Z$8</f>
        <v>CEMENTHEAT</v>
      </c>
      <c r="U40" t="s">
        <v>174</v>
      </c>
      <c r="V40" s="190">
        <v>3.241825303092484E-2</v>
      </c>
    </row>
    <row r="41" spans="2:22" x14ac:dyDescent="0.2">
      <c r="I41" s="1" t="s">
        <v>167</v>
      </c>
      <c r="J41" s="1" t="str">
        <f>DemTechs_INDF!Z$6</f>
        <v>MANELC</v>
      </c>
      <c r="K41" t="s">
        <v>175</v>
      </c>
      <c r="L41" s="190">
        <v>3.5569395862328948E-2</v>
      </c>
      <c r="N41" s="1" t="s">
        <v>167</v>
      </c>
      <c r="O41" s="1" t="str">
        <f>DemTechs_INDF!Z$5</f>
        <v>MANHEAT</v>
      </c>
      <c r="P41" t="s">
        <v>175</v>
      </c>
      <c r="Q41" s="190">
        <v>3.5569395862328948E-2</v>
      </c>
      <c r="S41" s="1" t="s">
        <v>167</v>
      </c>
      <c r="T41" s="1" t="str">
        <f>DemTechs_INDF!Z$8</f>
        <v>CEMENTHEAT</v>
      </c>
      <c r="U41" t="s">
        <v>175</v>
      </c>
      <c r="V41" s="190">
        <v>3.5569395862328948E-2</v>
      </c>
    </row>
    <row r="42" spans="2:22" x14ac:dyDescent="0.2">
      <c r="I42" s="1" t="s">
        <v>167</v>
      </c>
      <c r="J42" s="1" t="str">
        <f>DemTechs_INDF!Z$6</f>
        <v>MANELC</v>
      </c>
      <c r="K42" t="s">
        <v>176</v>
      </c>
      <c r="L42" s="190">
        <v>5.0064684062236839E-2</v>
      </c>
      <c r="N42" s="1" t="s">
        <v>167</v>
      </c>
      <c r="O42" s="1" t="str">
        <f>DemTechs_INDF!Z$5</f>
        <v>MANHEAT</v>
      </c>
      <c r="P42" t="s">
        <v>176</v>
      </c>
      <c r="Q42" s="190">
        <v>5.0064684062236839E-2</v>
      </c>
      <c r="S42" s="1" t="s">
        <v>167</v>
      </c>
      <c r="T42" s="1" t="str">
        <f>DemTechs_INDF!Z$8</f>
        <v>CEMENTHEAT</v>
      </c>
      <c r="U42" t="s">
        <v>176</v>
      </c>
      <c r="V42" s="190">
        <v>5.0064684062236839E-2</v>
      </c>
    </row>
    <row r="43" spans="2:22" x14ac:dyDescent="0.2">
      <c r="I43" s="1" t="s">
        <v>167</v>
      </c>
      <c r="J43" s="1" t="str">
        <f>DemTechs_INDF!Z$6</f>
        <v>MANELC</v>
      </c>
      <c r="K43" t="s">
        <v>177</v>
      </c>
      <c r="L43" s="190">
        <v>6.1132650490749271E-2</v>
      </c>
      <c r="N43" s="1" t="s">
        <v>167</v>
      </c>
      <c r="O43" s="1" t="str">
        <f>DemTechs_INDF!Z$5</f>
        <v>MANHEAT</v>
      </c>
      <c r="P43" t="s">
        <v>177</v>
      </c>
      <c r="Q43" s="190">
        <v>6.1132650490749271E-2</v>
      </c>
      <c r="S43" s="1" t="s">
        <v>167</v>
      </c>
      <c r="T43" s="1" t="str">
        <f>DemTechs_INDF!Z$8</f>
        <v>CEMENTHEAT</v>
      </c>
      <c r="U43" t="s">
        <v>177</v>
      </c>
      <c r="V43" s="190">
        <v>6.1132650490749271E-2</v>
      </c>
    </row>
    <row r="44" spans="2:22" x14ac:dyDescent="0.2">
      <c r="I44" s="1" t="s">
        <v>167</v>
      </c>
      <c r="J44" s="1" t="str">
        <f>DemTechs_INDF!Z$6</f>
        <v>MANELC</v>
      </c>
      <c r="K44" t="s">
        <v>178</v>
      </c>
      <c r="L44" s="190">
        <v>6.011628522297266E-2</v>
      </c>
      <c r="N44" s="1" t="s">
        <v>167</v>
      </c>
      <c r="O44" s="1" t="str">
        <f>DemTechs_INDF!Z$5</f>
        <v>MANHEAT</v>
      </c>
      <c r="P44" t="s">
        <v>178</v>
      </c>
      <c r="Q44" s="190">
        <v>6.011628522297266E-2</v>
      </c>
      <c r="S44" s="1" t="s">
        <v>167</v>
      </c>
      <c r="T44" s="1" t="str">
        <f>DemTechs_INDF!Z$8</f>
        <v>CEMENTHEAT</v>
      </c>
      <c r="U44" t="s">
        <v>178</v>
      </c>
      <c r="V44" s="190">
        <v>6.011628522297266E-2</v>
      </c>
    </row>
    <row r="45" spans="2:22" x14ac:dyDescent="0.2">
      <c r="I45" s="1" t="s">
        <v>167</v>
      </c>
      <c r="J45" s="1" t="str">
        <f>DemTechs_INDF!Z$6</f>
        <v>MANELC</v>
      </c>
      <c r="K45" t="s">
        <v>179</v>
      </c>
      <c r="L45" s="190">
        <v>6.2041439521472716E-2</v>
      </c>
      <c r="N45" s="1" t="s">
        <v>167</v>
      </c>
      <c r="O45" s="1" t="str">
        <f>DemTechs_INDF!Z$5</f>
        <v>MANHEAT</v>
      </c>
      <c r="P45" t="s">
        <v>179</v>
      </c>
      <c r="Q45" s="190">
        <v>6.2041439521472716E-2</v>
      </c>
      <c r="S45" s="1" t="s">
        <v>167</v>
      </c>
      <c r="T45" s="1" t="str">
        <f>DemTechs_INDF!Z$8</f>
        <v>CEMENTHEAT</v>
      </c>
      <c r="U45" t="s">
        <v>179</v>
      </c>
      <c r="V45" s="190">
        <v>6.2041439521472716E-2</v>
      </c>
    </row>
    <row r="46" spans="2:22" x14ac:dyDescent="0.2">
      <c r="I46" s="1" t="s">
        <v>167</v>
      </c>
      <c r="J46" s="1" t="str">
        <f>DemTechs_INDF!Z$6</f>
        <v>MANELC</v>
      </c>
      <c r="K46" t="s">
        <v>180</v>
      </c>
      <c r="L46" s="190">
        <v>5.0238563001630904E-2</v>
      </c>
      <c r="N46" s="1" t="s">
        <v>167</v>
      </c>
      <c r="O46" s="1" t="str">
        <f>DemTechs_INDF!Z$5</f>
        <v>MANHEAT</v>
      </c>
      <c r="P46" t="s">
        <v>180</v>
      </c>
      <c r="Q46" s="190">
        <v>5.0238563001630904E-2</v>
      </c>
      <c r="S46" s="1" t="s">
        <v>167</v>
      </c>
      <c r="T46" s="1" t="str">
        <f>DemTechs_INDF!Z$8</f>
        <v>CEMENTHEAT</v>
      </c>
      <c r="U46" t="s">
        <v>180</v>
      </c>
      <c r="V46" s="190">
        <v>5.0238563001630904E-2</v>
      </c>
    </row>
    <row r="47" spans="2:22" x14ac:dyDescent="0.2">
      <c r="I47" s="1" t="s">
        <v>167</v>
      </c>
      <c r="J47" s="1" t="str">
        <f>DemTechs_INDF!Z$6</f>
        <v>MANELC</v>
      </c>
      <c r="K47" t="s">
        <v>181</v>
      </c>
      <c r="L47" s="190">
        <v>5.3184386397899165E-2</v>
      </c>
      <c r="N47" s="1" t="s">
        <v>167</v>
      </c>
      <c r="O47" s="1" t="str">
        <f>DemTechs_INDF!Z$5</f>
        <v>MANHEAT</v>
      </c>
      <c r="P47" t="s">
        <v>181</v>
      </c>
      <c r="Q47" s="190">
        <v>5.3184386397899165E-2</v>
      </c>
      <c r="S47" s="1" t="s">
        <v>167</v>
      </c>
      <c r="T47" s="1" t="str">
        <f>DemTechs_INDF!Z$8</f>
        <v>CEMENTHEAT</v>
      </c>
      <c r="U47" t="s">
        <v>181</v>
      </c>
      <c r="V47" s="190">
        <v>5.3184386397899165E-2</v>
      </c>
    </row>
    <row r="48" spans="2:22" x14ac:dyDescent="0.2">
      <c r="I48" s="1" t="s">
        <v>167</v>
      </c>
      <c r="J48" s="1" t="str">
        <f>DemTechs_INDF!Z$6</f>
        <v>MANELC</v>
      </c>
      <c r="K48" t="s">
        <v>182</v>
      </c>
      <c r="L48" s="190">
        <v>5.7662395688403471E-2</v>
      </c>
      <c r="N48" s="1" t="s">
        <v>167</v>
      </c>
      <c r="O48" s="1" t="str">
        <f>DemTechs_INDF!Z$5</f>
        <v>MANHEAT</v>
      </c>
      <c r="P48" t="s">
        <v>182</v>
      </c>
      <c r="Q48" s="190">
        <v>5.7662395688403471E-2</v>
      </c>
      <c r="S48" s="1" t="s">
        <v>167</v>
      </c>
      <c r="T48" s="1" t="str">
        <f>DemTechs_INDF!Z$8</f>
        <v>CEMENTHEAT</v>
      </c>
      <c r="U48" t="s">
        <v>182</v>
      </c>
      <c r="V48" s="190">
        <v>5.7662395688403471E-2</v>
      </c>
    </row>
    <row r="49" spans="9:22" x14ac:dyDescent="0.2">
      <c r="I49" s="1" t="s">
        <v>167</v>
      </c>
      <c r="J49" s="1" t="str">
        <f>DemTechs_INDF!Z$6</f>
        <v>MANELC</v>
      </c>
      <c r="K49" t="s">
        <v>183</v>
      </c>
      <c r="L49" s="190">
        <v>5.8557745224525878E-2</v>
      </c>
      <c r="N49" s="1" t="s">
        <v>167</v>
      </c>
      <c r="O49" s="1" t="str">
        <f>DemTechs_INDF!Z$5</f>
        <v>MANHEAT</v>
      </c>
      <c r="P49" t="s">
        <v>183</v>
      </c>
      <c r="Q49" s="190">
        <v>5.8557745224525878E-2</v>
      </c>
      <c r="S49" s="1" t="s">
        <v>167</v>
      </c>
      <c r="T49" s="1" t="str">
        <f>DemTechs_INDF!Z$8</f>
        <v>CEMENTHEAT</v>
      </c>
      <c r="U49" t="s">
        <v>183</v>
      </c>
      <c r="V49" s="190">
        <v>5.8557745224525878E-2</v>
      </c>
    </row>
    <row r="50" spans="9:22" x14ac:dyDescent="0.2">
      <c r="I50" s="1" t="s">
        <v>167</v>
      </c>
      <c r="J50" s="1" t="str">
        <f>DemTechs_INDF!Z$6</f>
        <v>MANELC</v>
      </c>
      <c r="K50" t="s">
        <v>184</v>
      </c>
      <c r="L50" s="190">
        <v>5.4169812257972488E-2</v>
      </c>
      <c r="N50" s="1" t="s">
        <v>167</v>
      </c>
      <c r="O50" s="1" t="str">
        <f>DemTechs_INDF!Z$5</f>
        <v>MANHEAT</v>
      </c>
      <c r="P50" t="s">
        <v>184</v>
      </c>
      <c r="Q50" s="190">
        <v>5.4169812257972488E-2</v>
      </c>
      <c r="S50" s="1" t="s">
        <v>167</v>
      </c>
      <c r="T50" s="1" t="str">
        <f>DemTechs_INDF!Z$8</f>
        <v>CEMENTHEAT</v>
      </c>
      <c r="U50" t="s">
        <v>184</v>
      </c>
      <c r="V50" s="190">
        <v>5.4169812257972488E-2</v>
      </c>
    </row>
    <row r="51" spans="9:22" x14ac:dyDescent="0.2">
      <c r="I51" s="1" t="s">
        <v>167</v>
      </c>
      <c r="J51" s="1" t="str">
        <f>DemTechs_INDF!Z$6</f>
        <v>MANELC</v>
      </c>
      <c r="K51" t="s">
        <v>185</v>
      </c>
      <c r="L51" s="190">
        <v>4.1857004866670537E-2</v>
      </c>
      <c r="N51" s="1" t="s">
        <v>167</v>
      </c>
      <c r="O51" s="1" t="str">
        <f>DemTechs_INDF!Z$5</f>
        <v>MANHEAT</v>
      </c>
      <c r="P51" t="s">
        <v>185</v>
      </c>
      <c r="Q51" s="190">
        <v>4.1857004866670537E-2</v>
      </c>
      <c r="S51" s="1" t="s">
        <v>167</v>
      </c>
      <c r="T51" s="1" t="str">
        <f>DemTechs_INDF!Z$8</f>
        <v>CEMENTHEAT</v>
      </c>
      <c r="U51" t="s">
        <v>185</v>
      </c>
      <c r="V51" s="190">
        <v>4.1857004866670537E-2</v>
      </c>
    </row>
    <row r="52" spans="9:22" x14ac:dyDescent="0.2">
      <c r="I52" s="1" t="s">
        <v>167</v>
      </c>
      <c r="J52" s="1" t="str">
        <f>DemTechs_INDF!Z$6</f>
        <v>MANELC</v>
      </c>
      <c r="K52" t="s">
        <v>186</v>
      </c>
      <c r="L52" s="190">
        <v>3.3691520594468241E-2</v>
      </c>
      <c r="N52" s="1" t="s">
        <v>167</v>
      </c>
      <c r="O52" s="1" t="str">
        <f>DemTechs_INDF!Z$5</f>
        <v>MANHEAT</v>
      </c>
      <c r="P52" t="s">
        <v>186</v>
      </c>
      <c r="Q52" s="190">
        <v>3.3691520594468241E-2</v>
      </c>
      <c r="S52" s="1" t="s">
        <v>167</v>
      </c>
      <c r="T52" s="1" t="str">
        <f>DemTechs_INDF!Z$8</f>
        <v>CEMENTHEAT</v>
      </c>
      <c r="U52" t="s">
        <v>186</v>
      </c>
      <c r="V52" s="190">
        <v>3.3691520594468241E-2</v>
      </c>
    </row>
    <row r="53" spans="9:22" x14ac:dyDescent="0.2">
      <c r="I53" s="1" t="s">
        <v>167</v>
      </c>
      <c r="J53" s="1" t="str">
        <f>DemTechs_INDF!Z$6</f>
        <v>MANELC</v>
      </c>
      <c r="K53" t="s">
        <v>187</v>
      </c>
      <c r="L53" s="190">
        <v>3.2906492752302938E-2</v>
      </c>
      <c r="N53" s="1" t="s">
        <v>167</v>
      </c>
      <c r="O53" s="1" t="str">
        <f>DemTechs_INDF!Z$5</f>
        <v>MANHEAT</v>
      </c>
      <c r="P53" t="s">
        <v>187</v>
      </c>
      <c r="Q53" s="190">
        <v>3.2906492752302938E-2</v>
      </c>
      <c r="S53" s="1" t="s">
        <v>167</v>
      </c>
      <c r="T53" s="1" t="str">
        <f>DemTechs_INDF!Z$8</f>
        <v>CEMENTHEAT</v>
      </c>
      <c r="U53" t="s">
        <v>187</v>
      </c>
      <c r="V53" s="190">
        <v>3.2906492752302938E-2</v>
      </c>
    </row>
    <row r="54" spans="9:22" x14ac:dyDescent="0.2">
      <c r="I54" s="1" t="s">
        <v>167</v>
      </c>
      <c r="J54" s="1" t="str">
        <f>DemTechs_INDF!Z$6</f>
        <v>MANELC</v>
      </c>
      <c r="K54" t="s">
        <v>188</v>
      </c>
      <c r="L54" s="190">
        <v>3.20626233861286E-2</v>
      </c>
      <c r="N54" s="1" t="s">
        <v>167</v>
      </c>
      <c r="O54" s="1" t="str">
        <f>DemTechs_INDF!Z$5</f>
        <v>MANHEAT</v>
      </c>
      <c r="P54" t="s">
        <v>188</v>
      </c>
      <c r="Q54" s="190">
        <v>3.20626233861286E-2</v>
      </c>
      <c r="S54" s="1" t="s">
        <v>167</v>
      </c>
      <c r="T54" s="1" t="str">
        <f>DemTechs_INDF!Z$8</f>
        <v>CEMENTHEAT</v>
      </c>
      <c r="U54" t="s">
        <v>188</v>
      </c>
      <c r="V54" s="190">
        <v>3.20626233861286E-2</v>
      </c>
    </row>
    <row r="55" spans="9:22" x14ac:dyDescent="0.2">
      <c r="I55" s="1" t="s">
        <v>167</v>
      </c>
      <c r="J55" s="1" t="str">
        <f>DemTechs_INDF!Z$6</f>
        <v>MANELC</v>
      </c>
      <c r="K55" t="s">
        <v>189</v>
      </c>
      <c r="L55" s="190">
        <v>3.1700774081405016E-2</v>
      </c>
      <c r="N55" s="1" t="s">
        <v>167</v>
      </c>
      <c r="O55" s="1" t="str">
        <f>DemTechs_INDF!Z$5</f>
        <v>MANHEAT</v>
      </c>
      <c r="P55" t="s">
        <v>189</v>
      </c>
      <c r="Q55" s="190">
        <v>3.1700774081405016E-2</v>
      </c>
      <c r="S55" s="1" t="s">
        <v>167</v>
      </c>
      <c r="T55" s="1" t="str">
        <f>DemTechs_INDF!Z$8</f>
        <v>CEMENTHEAT</v>
      </c>
      <c r="U55" t="s">
        <v>189</v>
      </c>
      <c r="V55" s="190">
        <v>3.1700774081405016E-2</v>
      </c>
    </row>
    <row r="56" spans="9:22" x14ac:dyDescent="0.2">
      <c r="I56" s="1" t="s">
        <v>167</v>
      </c>
      <c r="J56" s="1" t="str">
        <f>DemTechs_INDF!Z$6</f>
        <v>MANELC</v>
      </c>
      <c r="K56" t="s">
        <v>190</v>
      </c>
      <c r="L56" s="190">
        <v>3.0548494068914959E-2</v>
      </c>
      <c r="N56" s="1" t="s">
        <v>167</v>
      </c>
      <c r="O56" s="1" t="str">
        <f>DemTechs_INDF!Z$5</f>
        <v>MANHEAT</v>
      </c>
      <c r="P56" t="s">
        <v>190</v>
      </c>
      <c r="Q56" s="190">
        <v>3.0548494068914959E-2</v>
      </c>
      <c r="S56" s="1" t="s">
        <v>167</v>
      </c>
      <c r="T56" s="1" t="str">
        <f>DemTechs_INDF!Z$8</f>
        <v>CEMENTHEAT</v>
      </c>
      <c r="U56" t="s">
        <v>190</v>
      </c>
      <c r="V56" s="190">
        <v>3.0548494068914959E-2</v>
      </c>
    </row>
    <row r="57" spans="9:22" x14ac:dyDescent="0.2">
      <c r="I57" s="1" t="s">
        <v>167</v>
      </c>
      <c r="J57" s="1" t="str">
        <f>DemTechs_INDF!Z$6</f>
        <v>MANELC</v>
      </c>
      <c r="K57" t="s">
        <v>191</v>
      </c>
      <c r="L57" s="190">
        <v>3.117830445262517E-2</v>
      </c>
      <c r="N57" s="1" t="s">
        <v>167</v>
      </c>
      <c r="O57" s="1" t="str">
        <f>DemTechs_INDF!Z$5</f>
        <v>MANHEAT</v>
      </c>
      <c r="P57" t="s">
        <v>191</v>
      </c>
      <c r="Q57" s="190">
        <v>3.117830445262517E-2</v>
      </c>
      <c r="S57" s="1" t="s">
        <v>167</v>
      </c>
      <c r="T57" s="1" t="str">
        <f>DemTechs_INDF!Z$8</f>
        <v>CEMENTHEAT</v>
      </c>
      <c r="U57" t="s">
        <v>191</v>
      </c>
      <c r="V57" s="190">
        <v>3.117830445262517E-2</v>
      </c>
    </row>
    <row r="58" spans="9:22" x14ac:dyDescent="0.2">
      <c r="I58" s="1"/>
      <c r="J58" s="137"/>
      <c r="K58" s="137"/>
      <c r="L58" s="182"/>
    </row>
    <row r="59" spans="9:22" x14ac:dyDescent="0.2">
      <c r="L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2" t="s">
        <v>194</v>
      </c>
      <c r="C3" s="122"/>
      <c r="D3" s="122"/>
      <c r="E3" s="122"/>
      <c r="F3" s="122"/>
      <c r="G3" s="122"/>
      <c r="H3" s="122"/>
    </row>
    <row r="4" spans="2:9" ht="17.45" customHeight="1" x14ac:dyDescent="0.25">
      <c r="B4" s="123"/>
      <c r="C4" s="123"/>
      <c r="D4" s="123"/>
      <c r="E4" s="123"/>
      <c r="F4" s="123"/>
      <c r="G4" s="123"/>
    </row>
    <row r="5" spans="2:9" ht="18" x14ac:dyDescent="0.25">
      <c r="B5" s="124" t="s">
        <v>195</v>
      </c>
      <c r="C5" s="125"/>
    </row>
    <row r="6" spans="2:9" ht="13.5" thickBot="1" x14ac:dyDescent="0.25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5" thickBot="1" x14ac:dyDescent="0.25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">
      <c r="B8" s="178"/>
      <c r="C8" s="178"/>
      <c r="D8" s="178"/>
      <c r="E8" s="178"/>
      <c r="F8" s="178"/>
      <c r="G8" s="178"/>
      <c r="H8" s="178"/>
      <c r="I8" s="1"/>
    </row>
    <row r="9" spans="2:9" x14ac:dyDescent="0.2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2026-01-06T10:47:05Z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