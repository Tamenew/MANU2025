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C858FB53-CDF6-4A4D-B83E-A21E5476E3E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37" l="1"/>
  <c r="AB7" i="143"/>
  <c r="O26" i="137"/>
  <c r="C23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<sst xmlns="http://schemas.openxmlformats.org/spreadsheetml/2006/main" count="783" uniqueCount="267">
  <si>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</si>
  <si>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</si>
  <si>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</si>
  <si>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</si>
  <si>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</si>
  <si>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</si>
  <si>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</si>
  <si>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</si>
  <si>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</si>
  <si>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</si>
  <si>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</si>
  <si>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</si>
  <si>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</si>
  <si>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</si>
  <si>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</si>
  <si>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</si>
  <si>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</si>
  <si>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</si>
  <si>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</si>
  <si>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</si>
  <si>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</si>
  <si>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</si>
  <si>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</si>
  <si>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</si>
  <si>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</si>
  <si>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</si>
  <si>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</si>
  <si>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</si>
  <si>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</si>
  <si>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</si>
  <si>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</si>
  <si>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</si>
  <si>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</si>
  <si>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</si>
  <si>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</si>
  <si>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</si>
  <si>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</si>
  <si>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</si>
  <si>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</si>
  <si>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</si>
  <si>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</si>
  <si>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</si>
  <si>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</si>
  <si>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</si>
  <si>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</si>
  <si>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</si>
  <si>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</si>
  <si>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</si>
  <si>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</si>
  <si>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</si>
  <si>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</si>
  <si>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</si>
  <si>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</si>
  <si>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</si>
  <si>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</si>
  <si>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</si>
  <si>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</si>
  <si>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</si>
  <si>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</si>
  <si>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</si>
  <si>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</si>
  <si>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</si>
  <si>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</si>
  <si>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</si>
  <si>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</si>
  <si>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</si>
  <si>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</si>
  <si>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</si>
  <si>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</si>
  <si>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</si>
  <si>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</si>
  <si>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</si>
  <si>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</si>
  <si>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</si>
  <si>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</si>
  <si>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</si>
  <si>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</si>
  <si>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</si>
  <si>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</si>
  <si>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</si>
  <si>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</si>
  <si>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</si>
  <si>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</si>
  <si>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</si>
  <si>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</si>
  <si>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</si>
  <si>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</si>
  <si>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</si>
  <si>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</si>
  <si>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</si>
  <si>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</si>
  <si>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</si>
  <si>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</si>
  <si>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</si>
  <si>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</si>
  <si>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</si>
  <si>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</si>
  <si>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</si>
  <si>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</si>
  <si>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</si>
  <si>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</si>
  <si>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</si>
  <si>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</si>
  <si>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</si>
  <si>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</si>
  <si>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</si>
  <si>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</si>
  <si>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</si>
  <si>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</si>
  <si>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</si>
  <si>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</si>
  <si>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</si>
  <si>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</si>
  <si>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</si>
  <si>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</si>
  <si>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</si>
  <si>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</si>
  <si>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</si>
  <si>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</si>
  <si>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</si>
  <si>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</si>
  <si>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</si>
  <si>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</si>
  <si>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</si>
  <si>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</si>
  <si>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</si>
  <si>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</si>
  <si>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</si>
  <si>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</si>
  <si>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</si>
  <si>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</si>
  <si>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</si>
  <si>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</si>
  <si>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</si>
  <si>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</si>
  <si>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</si>
  <si>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</si>
  <si>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</si>
  <si>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</si>
  <si>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</si>
  <si>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</si>
  <si>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</si>
  <si>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</si>
  <si>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</si>
  <si>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</si>
  <si>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</si>
  <si>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</si>
  <si>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</si>
  <si>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</si>
  <si>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</si>
  <si>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</si>
  <si>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</si>
  <si>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</si>
  <si>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</si>
  <si>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</si>
  <si>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</si>
  <si>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</si>
  <si>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</si>
  <si>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</si>
  <si>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</si>
  <si>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</si>
  <si>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</si>
  <si>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</si>
  <si>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</si>
  <si>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</si>
  <si>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</si>
  <si>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</si>
  <si>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</si>
  <si>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</si>
  <si>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</si>
  <si>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</si>
  <si>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</si>
  <si>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</si>
  <si>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</si>
  <si>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</si>
  <si>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</si>
  <si>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</si>
  <si>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</si>
  <si>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</si>
  <si>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</si>
  <si>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</si>
  <si>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</si>
  <si>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</si>
  <si>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</si>
  <si>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</si>
  <si>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</si>
  <si>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</si>
  <si>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</si>
  <si>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</si>
  <si>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</si>
  <si>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</si>
  <si>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</si>
  <si>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</si>
  <si>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</si>
  <si>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</si>
  <si>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</si>
  <si>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</si>
  <si>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</si>
  <si>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</si>
  <si>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</si>
  <si>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</si>
  <si>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</si>
  <si>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</si>
  <si>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</si>
  <si>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</si>
  <si>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</si>
  <si>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</si>
  <si>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</si>
  <si>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</si>
  <si>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</si>
  <si>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</si>
  <si>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</si>
  <si>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</si>
  <si>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</si>
  <si>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</si>
  <si>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</si>
  <si>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</si>
  <si>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</si>
  <si>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</si>
  <si>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</si>
  <si>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</si>
  <si>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</si>
  <si>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</si>
  <si>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</si>
  <si>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</si>
  <si>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</si>
  <si>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</si>
  <si>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</si>
  <si>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</si>
  <si>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</si>
  <si>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</si>
  <si>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</si>
  <si>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</si>
  <si>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</si>
  <si>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</si>
  <si>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</si>
  <si>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</si>
  <si>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</si>
  <si>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</si>
  <si>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</si>
  <si>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</si>
  <si>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</si>
  <si>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</si>
  <si>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</si>
  <si>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</si>
  <si>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</si>
  <si>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</si>
  <si>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</si>
  <si>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</si>
  <si>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</si>
  <si>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</si>
  <si>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</si>
  <si>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</si>
  <si>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</si>
  <si>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</si>
  <si>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</si>
  <si>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</si>
  <si>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</si>
  <si>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</si>
  <si>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</si>
  <si>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</si>
  <si>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</si>
  <si>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</si>
  <si>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</si>
  <si>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</si>
  <si>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 xml:space="preserve">Aggrigate electricity demand </t>
  </si>
  <si>
    <t>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</si>
</sst>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abSelected="1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3"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249</v>
      </c>
      <c r="P2" s="7" t="s">
        <v>148</v>
      </c>
      <c r="Q2" s="7" t="s">
        <v>266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246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247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248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H5" zoomScale="148" zoomScaleNormal="148" workbookViewId="0">
      <selection activeCell="M26" sqref="M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264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202</v>
      </c>
      <c r="P5" s="64" t="s">
        <v>152</v>
      </c>
      <c r="Q5" s="64" t="s">
        <v>148</v>
      </c>
      <c r="R5" s="64"/>
      <c r="S5" s="137" t="s">
        <v>201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203</v>
      </c>
      <c r="P6" s="64" t="s">
        <v>153</v>
      </c>
      <c r="Q6" s="64" t="s">
        <v>148</v>
      </c>
      <c r="R6" s="64"/>
      <c r="S6" s="137" t="s">
        <v>201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204</v>
      </c>
      <c r="P7" s="64" t="s">
        <v>154</v>
      </c>
      <c r="Q7" s="64" t="s">
        <v>148</v>
      </c>
      <c r="R7" s="64"/>
      <c r="S7" s="137" t="s">
        <v>201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265</v>
      </c>
      <c r="Q8" s="64" t="s">
        <v>148</v>
      </c>
      <c r="R8" s="64"/>
      <c r="S8" s="137" t="s">
        <v>201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250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201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201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201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199</v>
      </c>
      <c r="Q26" t="s">
        <v>148</v>
      </c>
      <c r="S26" s="137" t="s">
        <v>201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zoomScale="118" zoomScaleNormal="118" workbookViewId="0">
      <selection activeCell="C24" sqref="C24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210</v>
      </c>
      <c r="AA5" s="142" t="s">
        <v>208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200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245</v>
      </c>
      <c r="AA8" s="142" t="s">
        <v>209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211</v>
      </c>
      <c r="F17" s="96" t="s">
        <v>261</v>
      </c>
      <c r="G17" s="96" t="s">
        <v>240</v>
      </c>
      <c r="H17" s="96" t="s">
        <v>241</v>
      </c>
      <c r="I17" s="96" t="s">
        <v>242</v>
      </c>
      <c r="J17" s="96" t="s">
        <v>243</v>
      </c>
      <c r="K17" s="96" t="s">
        <v>244</v>
      </c>
      <c r="L17" s="96" t="s">
        <v>260</v>
      </c>
      <c r="M17" s="95" t="s">
        <v>102</v>
      </c>
      <c r="N17" s="95" t="s">
        <v>103</v>
      </c>
      <c r="O17" s="95" t="s">
        <v>104</v>
      </c>
      <c r="P17" s="95" t="s">
        <v>206</v>
      </c>
      <c r="Q17" s="95" t="s">
        <v>156</v>
      </c>
      <c r="R17" s="95" t="s">
        <v>157</v>
      </c>
      <c r="S17" s="95" t="s">
        <v>252</v>
      </c>
      <c r="T17" s="95" t="s">
        <v>149</v>
      </c>
      <c r="U17" s="95" t="s">
        <v>237</v>
      </c>
      <c r="V17" s="95" t="s">
        <v>255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207</v>
      </c>
      <c r="Q18" s="97" t="s">
        <v>158</v>
      </c>
      <c r="R18" s="98" t="s">
        <v>159</v>
      </c>
      <c r="S18" s="98" t="s">
        <v>253</v>
      </c>
      <c r="T18" s="97" t="s">
        <v>150</v>
      </c>
      <c r="U18" s="97" t="s">
        <v>238</v>
      </c>
      <c r="V18" s="97" t="s">
        <v>256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205</v>
      </c>
      <c r="G19" s="100" t="s">
        <v>205</v>
      </c>
      <c r="H19" s="100" t="s">
        <v>205</v>
      </c>
      <c r="I19" s="100" t="s">
        <v>205</v>
      </c>
      <c r="J19" s="100" t="s">
        <v>205</v>
      </c>
      <c r="K19" s="100" t="s">
        <v>205</v>
      </c>
      <c r="L19" s="100" t="s">
        <v>205</v>
      </c>
      <c r="M19" s="100"/>
      <c r="N19" s="101"/>
      <c r="O19" s="100" t="s">
        <v>108</v>
      </c>
      <c r="P19" s="100"/>
      <c r="Q19" s="100" t="s">
        <v>251</v>
      </c>
      <c r="R19" s="100" t="s">
        <v>254</v>
      </c>
      <c r="S19" s="100" t="s">
        <v>263</v>
      </c>
      <c r="T19" s="100"/>
      <c r="U19" s="100" t="s">
        <v>239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201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201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262</v>
      </c>
      <c r="AA22" s="88" t="s">
        <v>198</v>
      </c>
      <c r="AB22" s="88" t="s">
        <v>148</v>
      </c>
      <c r="AC22" s="88" t="s">
        <v>142</v>
      </c>
      <c r="AD22" s="154" t="s">
        <v>201</v>
      </c>
    </row>
    <row r="23" spans="2:32" s="141" customFormat="1" x14ac:dyDescent="0.25">
      <c r="B23" s="94" t="str">
        <f>Z22</f>
        <v>MANELC_TECH</v>
      </c>
      <c r="C23" s="142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10"/>
      <c r="S23" s="110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236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236</v>
      </c>
      <c r="E25" s="143"/>
      <c r="F25" s="144"/>
      <c r="G25" s="144"/>
      <c r="H25" s="144"/>
      <c r="I25" s="144"/>
      <c r="J25" s="144"/>
      <c r="K25" s="144"/>
      <c r="L25" s="144"/>
      <c r="R25" s="110"/>
      <c r="S25" s="110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205</v>
      </c>
      <c r="G45" s="144" t="s">
        <v>205</v>
      </c>
      <c r="H45" s="144" t="s">
        <v>205</v>
      </c>
      <c r="I45" s="144" t="s">
        <v>205</v>
      </c>
      <c r="J45" s="144" t="s">
        <v>205</v>
      </c>
      <c r="K45" s="144" t="s">
        <v>205</v>
      </c>
      <c r="L45" s="144" t="s">
        <v>205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257</v>
      </c>
      <c r="D46" s="90" t="s">
        <v>245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258</v>
      </c>
      <c r="D47" s="88" t="s">
        <v>245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259</v>
      </c>
      <c r="D48" s="88" t="s">
        <v>210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E1" zoomScale="226" zoomScaleNormal="226" workbookViewId="0">
      <selection activeCell="C11" sqref="C1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210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212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212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212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245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213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213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213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214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214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214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215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215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215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216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216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216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217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217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217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218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218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218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219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219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219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220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220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220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221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221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221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222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222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222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223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223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223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224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224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224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225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225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225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226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226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226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227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227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227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228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228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228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229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229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229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230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230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230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231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231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231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232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232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232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233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233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233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234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234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234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235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235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235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C7" sqref="C7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2026-03-16T06:00:10Z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