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B8F5A482-DD95-41B4-8C88-8CC938C3241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O26" i="137"/>
  <c r="E10" i="145"/>
  <c r="D26" i="137" l="1"/>
  <c r="E9" i="145"/>
  <c r="E11" i="145"/>
  <c r="D25" i="143"/>
  <c r="B25" i="143"/>
  <c r="D23" i="143"/>
  <c r="C23" i="143"/>
  <c r="B23" i="143"/>
  <c r="B22" i="143"/>
  <c r="B24" i="143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<sst xmlns="http://schemas.openxmlformats.org/spreadsheetml/2006/main" count="782" uniqueCount="267">
  <si>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</si>
  <si>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</si>
  <si>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</si>
  <si>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</si>
  <si>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</si>
  <si>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</si>
  <si>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</si>
  <si>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</si>
  <si>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</si>
  <si>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</si>
  <si>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</si>
  <si>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</si>
  <si>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</si>
  <si>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</si>
  <si>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</si>
  <si>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</si>
  <si>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</si>
  <si>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</si>
  <si>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</si>
  <si>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</si>
  <si>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</si>
  <si>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</si>
  <si>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</si>
  <si>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</si>
  <si>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</si>
  <si>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</si>
  <si>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</si>
  <si>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</si>
  <si>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</si>
  <si>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</si>
  <si>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</si>
  <si>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</si>
  <si>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</si>
  <si>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</si>
  <si>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</si>
  <si>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</si>
  <si>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</si>
  <si>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</si>
  <si>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</si>
  <si>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</si>
  <si>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</si>
  <si>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</si>
  <si>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</si>
  <si>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</si>
  <si>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</si>
  <si>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</si>
  <si>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</si>
  <si>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</si>
  <si>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</si>
  <si>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</si>
  <si>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</si>
  <si>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</si>
  <si>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</si>
  <si>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</si>
  <si>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</si>
  <si>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</si>
  <si>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</si>
  <si>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</si>
  <si>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</si>
  <si>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</si>
  <si>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</si>
  <si>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</si>
  <si>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</si>
  <si>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</si>
  <si>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</si>
  <si>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</si>
  <si>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</si>
  <si>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</si>
  <si>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</si>
  <si>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</si>
  <si>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</si>
  <si>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</si>
  <si>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</si>
  <si>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</si>
  <si>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</si>
  <si>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</si>
  <si>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</si>
  <si>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</si>
  <si>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</si>
  <si>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</si>
  <si>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</si>
  <si>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</si>
  <si>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</si>
  <si>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</si>
  <si>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</si>
  <si>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</si>
  <si>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</si>
  <si>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</si>
  <si>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</si>
  <si>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</si>
  <si>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</si>
  <si>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</si>
  <si>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</si>
  <si>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</si>
  <si>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</si>
  <si>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</si>
  <si>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</si>
  <si>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</si>
  <si>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</si>
  <si>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</si>
  <si>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</si>
  <si>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</si>
  <si>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</si>
  <si>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</si>
  <si>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</si>
  <si>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</si>
  <si>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</si>
  <si>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</si>
  <si>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</si>
  <si>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</si>
  <si>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</si>
  <si>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</si>
  <si>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</si>
  <si>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</si>
  <si>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</si>
  <si>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</si>
  <si>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</si>
  <si>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</si>
  <si>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</si>
  <si>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</si>
  <si>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</si>
  <si>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</si>
  <si>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</si>
  <si>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</si>
  <si>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</si>
  <si>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</si>
  <si>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</si>
  <si>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</si>
  <si>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</si>
  <si>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</si>
  <si>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</si>
  <si>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</si>
  <si>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</si>
  <si>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</si>
  <si>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</si>
  <si>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</si>
  <si>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</si>
  <si>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</si>
  <si>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</si>
  <si>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</si>
  <si>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</si>
  <si>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</si>
  <si>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</si>
  <si>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</si>
  <si>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</si>
  <si>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</si>
  <si>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</si>
  <si>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</si>
  <si>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</si>
  <si>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</si>
  <si>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</si>
  <si>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</si>
  <si>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</si>
  <si>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</si>
  <si>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</si>
  <si>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</si>
  <si>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</si>
  <si>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</si>
  <si>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</si>
  <si>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</si>
  <si>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</si>
  <si>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</si>
  <si>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</si>
  <si>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</si>
  <si>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</si>
  <si>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</si>
  <si>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</si>
  <si>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</si>
  <si>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</si>
  <si>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</si>
  <si>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</si>
  <si>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</si>
  <si>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</si>
  <si>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</si>
  <si>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</si>
  <si>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</si>
  <si>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</si>
  <si>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</si>
  <si>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</si>
  <si>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</si>
  <si>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</si>
  <si>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</si>
  <si>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</si>
  <si>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</si>
  <si>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</si>
  <si>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</si>
  <si>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</si>
  <si>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</si>
  <si>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</si>
  <si>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</si>
  <si>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</si>
  <si>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</si>
  <si>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</si>
  <si>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</si>
  <si>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</si>
  <si>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</si>
  <si>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</si>
  <si>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</si>
  <si>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</si>
  <si>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</si>
  <si>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</si>
  <si>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</si>
  <si>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</si>
  <si>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</si>
  <si>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</si>
  <si>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</si>
  <si>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</si>
  <si>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</si>
  <si>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</si>
  <si>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</si>
  <si>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</si>
  <si>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</si>
  <si>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</si>
  <si>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</si>
  <si>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</si>
  <si>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</si>
  <si>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</si>
  <si>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</si>
  <si>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</si>
  <si>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</si>
  <si>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</si>
  <si>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</si>
  <si>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</si>
  <si>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</si>
  <si>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</si>
  <si>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</si>
  <si>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</si>
  <si>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</si>
  <si>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</si>
  <si>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</si>
  <si>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</si>
  <si>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</si>
  <si>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</si>
  <si>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</si>
  <si>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</si>
  <si>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</si>
  <si>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</si>
  <si>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</si>
  <si>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</si>
  <si>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</si>
  <si>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</si>
  <si>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</si>
  <si>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</si>
  <si>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</si>
  <si>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</si>
  <si>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</si>
  <si>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</si>
  <si>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</si>
  <si>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</si>
  <si>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</si>
  <si>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</si>
  <si>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</si>
  <si>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</si>
  <si>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</si>
  <si>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</si>
  <si>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</si>
  <si>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</si>
  <si>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</si>
  <si>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</si>
  <si>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</si>
  <si>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</si>
  <si>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 xml:space="preserve">Electricity from Grid </t>
  </si>
  <si>
    <t>Manufacturing Coal-Domestic</t>
  </si>
  <si>
    <t>Manufacturing Coal-Imported</t>
  </si>
  <si>
    <t>Manufacturing Oil-Imported</t>
  </si>
  <si>
    <t xml:space="preserve">Grid Electricity </t>
  </si>
  <si>
    <t>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</si>
</sst>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I4" zoomScale="148" zoomScaleNormal="148" workbookViewId="0">
      <selection activeCell="P28" sqref="P28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262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263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264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261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ELEGRID</v>
      </c>
      <c r="C26" s="68"/>
      <c r="D26" s="136" t="str">
        <f>O8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7" t="s">
        <v>266</v>
      </c>
      <c r="N26" s="138"/>
      <c r="O26" s="68" t="str">
        <f>$M$26&amp;$C$4</f>
        <v>ELEGRID</v>
      </c>
      <c r="P26" s="140" t="s">
        <v>265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G59"/>
  <sheetViews>
    <sheetView tabSelected="1" topLeftCell="I7" zoomScale="118" zoomScaleNormal="118" workbookViewId="0">
      <selection activeCell="V28" sqref="V28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/>
      <c r="Y9" s="139"/>
      <c r="Z9" s="139"/>
      <c r="AA9" s="139"/>
      <c r="AB9" s="64"/>
      <c r="AC9" s="64"/>
      <c r="AD9" s="137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3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3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3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3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3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3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0.34749360000000001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3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/>
      <c r="Y23" s="190"/>
      <c r="Z23" s="190"/>
      <c r="AA23" s="190"/>
      <c r="AB23" s="191"/>
      <c r="AC23" s="191"/>
      <c r="AD23" s="190"/>
    </row>
    <row r="24" spans="2:33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0.27951480000000001</v>
      </c>
      <c r="V24" s="104"/>
      <c r="AB24" s="94"/>
      <c r="AC24" s="94"/>
    </row>
    <row r="25" spans="2:33" s="141" customFormat="1" x14ac:dyDescent="0.25">
      <c r="B25" s="94" t="str">
        <f>Z22</f>
        <v>MANELC_TECH</v>
      </c>
      <c r="C25" s="142" t="str">
        <f>PRI_Sector_Fuels!O8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3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3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3" s="141" customFormat="1" x14ac:dyDescent="0.25">
      <c r="AB28" s="94"/>
      <c r="AC28" s="94"/>
      <c r="AD28" s="152"/>
    </row>
    <row r="29" spans="2:33" s="141" customFormat="1" x14ac:dyDescent="0.25">
      <c r="AC29" s="94"/>
    </row>
    <row r="30" spans="2:33" s="141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</row>
    <row r="31" spans="2:33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</row>
    <row r="32" spans="2:33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252</v>
      </c>
      <c r="D46" s="90" t="s">
        <v>240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253</v>
      </c>
      <c r="D47" s="88" t="s">
        <v>240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254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33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33" x14ac:dyDescent="0.25">
      <c r="H50" s="178"/>
      <c r="I50" s="179"/>
    </row>
    <row r="53" spans="2:33" x14ac:dyDescent="0.25">
      <c r="G53" s="145"/>
      <c r="I53" s="145"/>
    </row>
    <row r="54" spans="2:33" x14ac:dyDescent="0.25">
      <c r="G54" s="145"/>
    </row>
    <row r="55" spans="2:33" x14ac:dyDescent="0.25">
      <c r="B55" s="94"/>
      <c r="C55" s="94"/>
      <c r="D55" s="94"/>
      <c r="E55" s="94"/>
      <c r="F55" s="94"/>
      <c r="G55" s="94"/>
      <c r="H55" s="143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</row>
    <row r="56" spans="2:33" s="94" customFormat="1" x14ac:dyDescent="0.25">
      <c r="B56" s="88"/>
      <c r="C56" s="88"/>
      <c r="D56" s="88"/>
      <c r="E56" s="88"/>
      <c r="F56" s="145"/>
      <c r="G56" s="145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</row>
    <row r="58" spans="2:33" x14ac:dyDescent="0.25">
      <c r="F58" s="145"/>
    </row>
    <row r="59" spans="2:33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52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2026-04-24T07:23:21Z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