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CFE42ACF-D726-4B4A-BA8F-DEE429B9D60D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D25" i="143"/>
  <c r="B25" i="143"/>
  <c r="D26" i="137" l="1"/>
  <c r="E9" i="145"/>
  <c r="E11" i="145"/>
  <c r="C26" i="143"/>
  <c r="D26" i="143"/>
  <c r="B26" i="143"/>
  <c r="D23" i="143"/>
  <c r="C23" i="143"/>
  <c r="B23" i="143"/>
  <c r="B22" i="143"/>
  <c r="B24" i="143"/>
  <c r="O26" i="137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10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<sst xmlns="http://schemas.openxmlformats.org/spreadsheetml/2006/main" count="793" uniqueCount="270">
  <si>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</si>
  <si>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</si>
  <si>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</si>
  <si>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</si>
  <si>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</si>
  <si>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</si>
  <si>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</si>
  <si>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</si>
  <si>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</si>
  <si>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</si>
  <si>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</si>
  <si>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</si>
  <si>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</si>
  <si>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</si>
  <si>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</si>
  <si>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</si>
  <si>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</si>
  <si>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</si>
  <si>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</si>
  <si>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</si>
  <si>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</si>
  <si>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</si>
  <si>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</si>
  <si>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</si>
  <si>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</si>
  <si>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</si>
  <si>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</si>
  <si>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</si>
  <si>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</si>
  <si>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</si>
  <si>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</si>
  <si>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</si>
  <si>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</si>
  <si>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</si>
  <si>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</si>
  <si>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</si>
  <si>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</si>
  <si>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</si>
  <si>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</si>
  <si>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</si>
  <si>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</si>
  <si>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</si>
  <si>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</si>
  <si>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</si>
  <si>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</si>
  <si>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</si>
  <si>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</si>
  <si>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</si>
  <si>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</si>
  <si>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</si>
  <si>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</si>
  <si>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</si>
  <si>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</si>
  <si>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</si>
  <si>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</si>
  <si>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</si>
  <si>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</si>
  <si>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</si>
  <si>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</si>
  <si>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</si>
  <si>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</si>
  <si>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</si>
  <si>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</si>
  <si>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</si>
  <si>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</si>
  <si>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</si>
  <si>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</si>
  <si>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</si>
  <si>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</si>
  <si>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</si>
  <si>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</si>
  <si>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</si>
  <si>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</si>
  <si>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</si>
  <si>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</si>
  <si>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</si>
  <si>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</si>
  <si>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</si>
  <si>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</si>
  <si>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</si>
  <si>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</si>
  <si>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</si>
  <si>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</si>
  <si>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</si>
  <si>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</si>
  <si>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</si>
  <si>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</si>
  <si>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</si>
  <si>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</si>
  <si>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</si>
  <si>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</si>
  <si>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</si>
  <si>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</si>
  <si>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</si>
  <si>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</si>
  <si>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</si>
  <si>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</si>
  <si>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</si>
  <si>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</si>
  <si>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</si>
  <si>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</si>
  <si>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</si>
  <si>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</si>
  <si>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</si>
  <si>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</si>
  <si>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</si>
  <si>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</si>
  <si>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</si>
  <si>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</si>
  <si>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</si>
  <si>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</si>
  <si>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</si>
  <si>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</si>
  <si>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</si>
  <si>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</si>
  <si>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</si>
  <si>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</si>
  <si>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</si>
  <si>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</si>
  <si>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</si>
  <si>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</si>
  <si>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</si>
  <si>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</si>
  <si>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</si>
  <si>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</si>
  <si>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</si>
  <si>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</si>
  <si>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</si>
  <si>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</si>
  <si>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</si>
  <si>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</si>
  <si>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</si>
  <si>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</si>
  <si>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</si>
  <si>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</si>
  <si>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</si>
  <si>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</si>
  <si>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</si>
  <si>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</si>
  <si>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</si>
  <si>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</si>
  <si>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</si>
  <si>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</si>
  <si>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</si>
  <si>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</si>
  <si>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</si>
  <si>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</si>
  <si>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</si>
  <si>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</si>
  <si>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</si>
  <si>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</si>
  <si>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</si>
  <si>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</si>
  <si>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</si>
  <si>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</si>
  <si>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</si>
  <si>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</si>
  <si>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</si>
  <si>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</si>
  <si>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</si>
  <si>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</si>
  <si>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</si>
  <si>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</si>
  <si>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</si>
  <si>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</si>
  <si>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</si>
  <si>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</si>
  <si>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</si>
  <si>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</si>
  <si>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</si>
  <si>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</si>
  <si>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</si>
  <si>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</si>
  <si>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</si>
  <si>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</si>
  <si>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</si>
  <si>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</si>
  <si>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</si>
  <si>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</si>
  <si>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</si>
  <si>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</si>
  <si>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</si>
  <si>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</si>
  <si>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</si>
  <si>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</si>
  <si>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</si>
  <si>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</si>
  <si>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</si>
  <si>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</si>
  <si>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</si>
  <si>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</si>
  <si>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</si>
  <si>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</si>
  <si>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</si>
  <si>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</si>
  <si>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</si>
  <si>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</si>
  <si>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</si>
  <si>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</si>
  <si>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</si>
  <si>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</si>
  <si>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</si>
  <si>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</si>
  <si>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</si>
  <si>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</si>
  <si>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</si>
  <si>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</si>
  <si>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</si>
  <si>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</si>
  <si>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</si>
  <si>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</si>
  <si>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</si>
  <si>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</si>
  <si>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</si>
  <si>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</si>
  <si>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</si>
  <si>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</si>
  <si>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</si>
  <si>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</si>
  <si>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</si>
  <si>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</si>
  <si>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</si>
  <si>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</si>
  <si>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</si>
  <si>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</si>
  <si>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</si>
  <si>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</si>
  <si>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</si>
  <si>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</si>
  <si>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</si>
  <si>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</si>
  <si>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</si>
  <si>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</si>
  <si>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</si>
  <si>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</si>
  <si>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</si>
  <si>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</si>
  <si>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</si>
  <si>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</si>
  <si>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</si>
  <si>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</si>
  <si>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</si>
  <si>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</si>
  <si>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</si>
  <si>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</si>
  <si>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</si>
  <si>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</si>
  <si>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</si>
  <si>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</si>
  <si>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</si>
  <si>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</si>
  <si>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</si>
  <si>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</si>
  <si>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</si>
  <si>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</si>
  <si>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</si>
  <si>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</si>
  <si>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</si>
  <si>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</si>
  <si>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</si>
  <si>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</si>
  <si>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>GRIDELC</t>
  </si>
  <si>
    <t xml:space="preserve">Electricity from Grid </t>
  </si>
  <si>
    <t>Aggrigate Electricity</t>
  </si>
  <si>
    <t>Manufacturing Coal-Domestic</t>
  </si>
  <si>
    <t>Manufacturing Coal-Imported</t>
  </si>
  <si>
    <t>Manufacturing Oil-Imported</t>
  </si>
  <si>
    <t xml:space="preserve">Grid Electricity </t>
  </si>
  <si>
    <t>ELC_AGG</t>
  </si>
  <si>
    <t>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</si>
</sst>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37</xdr:row>
      <xdr:rowOff>65943</xdr:rowOff>
    </xdr:from>
    <xdr:to>
      <xdr:col>26</xdr:col>
      <xdr:colOff>3771674</xdr:colOff>
      <xdr:row>42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F1" zoomScale="148" zoomScaleNormal="148" workbookViewId="0">
      <selection activeCell="B27" sqref="B27:T27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264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265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266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261</v>
      </c>
      <c r="P8" s="136" t="s">
        <v>262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ELCGRID</v>
      </c>
      <c r="C26" s="68"/>
      <c r="D26" s="136" t="str">
        <f>O8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t="s">
        <v>46</v>
      </c>
      <c r="N26" s="138"/>
      <c r="O26" s="68" t="str">
        <f>$M$26&amp;$C$4</f>
        <v>ELCGRID</v>
      </c>
      <c r="P26" s="140" t="s">
        <v>267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60"/>
  <sheetViews>
    <sheetView tabSelected="1" topLeftCell="A15" zoomScale="118" zoomScaleNormal="118" workbookViewId="0">
      <selection activeCell="C26" sqref="C26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 t="s">
        <v>46</v>
      </c>
      <c r="Y9" s="139"/>
      <c r="Z9" s="139" t="s">
        <v>46</v>
      </c>
      <c r="AA9" s="139" t="s">
        <v>263</v>
      </c>
      <c r="AB9" s="64" t="s">
        <v>148</v>
      </c>
      <c r="AC9" s="64"/>
      <c r="AD9" s="137" t="s">
        <v>197</v>
      </c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 t="s">
        <v>46</v>
      </c>
      <c r="Y23" s="190"/>
      <c r="Z23" s="190" t="s">
        <v>268</v>
      </c>
      <c r="AA23" s="190" t="s">
        <v>269</v>
      </c>
      <c r="AB23" s="191" t="s">
        <v>148</v>
      </c>
      <c r="AC23" s="191" t="s">
        <v>142</v>
      </c>
      <c r="AD23" s="190" t="s">
        <v>197</v>
      </c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Z23</f>
        <v>ELC_AGG</v>
      </c>
      <c r="C25" s="142" t="str">
        <f>PRI_Sector_Fuels!O8</f>
        <v>GRIDELC</v>
      </c>
      <c r="D25" s="154" t="str">
        <f>Z9</f>
        <v>ELC</v>
      </c>
      <c r="E25" s="143"/>
      <c r="F25" s="144"/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2" s="141" customFormat="1" x14ac:dyDescent="0.25">
      <c r="B26" s="94" t="str">
        <f>Z22</f>
        <v>MANELC_TECH</v>
      </c>
      <c r="C26" s="142" t="str">
        <f>DemTechs_INDF!Z9</f>
        <v>ELC</v>
      </c>
      <c r="D26" s="154" t="str">
        <f>Z6</f>
        <v>MANELC</v>
      </c>
      <c r="E26" s="143"/>
      <c r="F26" s="144">
        <v>1</v>
      </c>
      <c r="G26" s="144"/>
      <c r="H26" s="144"/>
      <c r="I26" s="144"/>
      <c r="J26" s="144"/>
      <c r="K26" s="144"/>
      <c r="L26" s="144"/>
      <c r="M26" s="141">
        <v>1</v>
      </c>
      <c r="N26" s="141">
        <v>1</v>
      </c>
      <c r="O26" s="141">
        <v>50</v>
      </c>
      <c r="R26" s="110"/>
      <c r="S26" s="110"/>
      <c r="T26" s="104">
        <v>8.76</v>
      </c>
      <c r="U26" s="104"/>
      <c r="V26" s="104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B28" s="94"/>
      <c r="C28" s="142"/>
      <c r="D28" s="154"/>
      <c r="E28" s="143"/>
      <c r="F28" s="144"/>
      <c r="G28" s="144"/>
      <c r="H28" s="144"/>
      <c r="I28" s="144"/>
      <c r="J28" s="144"/>
      <c r="K28" s="144"/>
      <c r="L28" s="144"/>
      <c r="R28" s="110"/>
      <c r="S28" s="110"/>
      <c r="T28" s="110"/>
      <c r="U28" s="110"/>
      <c r="AB28" s="94"/>
      <c r="AC28" s="94"/>
    </row>
    <row r="29" spans="2:32" s="141" customFormat="1" x14ac:dyDescent="0.25">
      <c r="AB29" s="94"/>
      <c r="AC29" s="94"/>
      <c r="AD29" s="152"/>
    </row>
    <row r="30" spans="2:32" s="141" customFormat="1" x14ac:dyDescent="0.25">
      <c r="AC30" s="94"/>
    </row>
    <row r="31" spans="2:32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90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B33" s="145"/>
      <c r="C33" s="90"/>
      <c r="D33" s="142"/>
      <c r="E33" s="143"/>
      <c r="F33" s="144"/>
      <c r="G33" s="144"/>
      <c r="H33" s="144"/>
      <c r="I33" s="144"/>
      <c r="J33" s="144"/>
      <c r="K33" s="144"/>
      <c r="L33" s="144"/>
      <c r="M33" s="141"/>
      <c r="N33" s="141"/>
      <c r="O33" s="141"/>
      <c r="P33" s="141"/>
      <c r="Q33" s="14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AB34" s="90"/>
      <c r="AC34" s="90"/>
      <c r="AD34" s="15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64"/>
      <c r="Q35" s="164"/>
      <c r="Y35" s="110"/>
      <c r="AA35" s="110"/>
      <c r="AB35" s="111"/>
      <c r="AC35" s="111"/>
    </row>
    <row r="36" spans="2:30" x14ac:dyDescent="0.25">
      <c r="E36" s="145"/>
      <c r="F36" s="106"/>
      <c r="G36" s="106"/>
      <c r="H36" s="106"/>
      <c r="I36" s="106"/>
      <c r="J36" s="106"/>
      <c r="K36" s="106"/>
      <c r="L36" s="106"/>
      <c r="N36" s="107"/>
      <c r="Q36" s="164"/>
    </row>
    <row r="37" spans="2:30" x14ac:dyDescent="0.25">
      <c r="E37" s="145"/>
      <c r="N37" s="107"/>
      <c r="O37" s="106"/>
      <c r="Q37" s="164"/>
    </row>
    <row r="38" spans="2:30" x14ac:dyDescent="0.25">
      <c r="B38" s="104"/>
      <c r="C38" s="88" t="s">
        <v>97</v>
      </c>
      <c r="N38" s="107"/>
    </row>
    <row r="39" spans="2:30" x14ac:dyDescent="0.25">
      <c r="B39" s="108"/>
      <c r="C39" s="88" t="s">
        <v>98</v>
      </c>
      <c r="N39" s="107"/>
    </row>
    <row r="40" spans="2:30" x14ac:dyDescent="0.25">
      <c r="N40" s="107"/>
    </row>
    <row r="43" spans="2:30" x14ac:dyDescent="0.25">
      <c r="E43" s="21"/>
    </row>
    <row r="45" spans="2:30" x14ac:dyDescent="0.25">
      <c r="B45" s="88" t="s">
        <v>39</v>
      </c>
      <c r="C45" s="88" t="s">
        <v>32</v>
      </c>
      <c r="D45" s="88" t="s">
        <v>33</v>
      </c>
      <c r="E45" s="88" t="s">
        <v>105</v>
      </c>
      <c r="F45" s="88" t="s">
        <v>140</v>
      </c>
      <c r="G45" s="88" t="s">
        <v>140</v>
      </c>
      <c r="H45" s="88" t="s">
        <v>140</v>
      </c>
      <c r="I45" s="88" t="s">
        <v>140</v>
      </c>
      <c r="J45" s="88" t="s">
        <v>140</v>
      </c>
      <c r="K45" s="88" t="s">
        <v>140</v>
      </c>
      <c r="L45" s="88" t="s">
        <v>140</v>
      </c>
    </row>
    <row r="46" spans="2:30" x14ac:dyDescent="0.25">
      <c r="B46" s="94" t="s">
        <v>87</v>
      </c>
      <c r="C46" s="142"/>
      <c r="D46" s="90"/>
      <c r="E46" s="143" t="s">
        <v>189</v>
      </c>
      <c r="F46" s="144" t="s">
        <v>201</v>
      </c>
      <c r="G46" s="144" t="s">
        <v>201</v>
      </c>
      <c r="H46" s="144" t="s">
        <v>201</v>
      </c>
      <c r="I46" s="144" t="s">
        <v>201</v>
      </c>
      <c r="J46" s="144" t="s">
        <v>201</v>
      </c>
      <c r="K46" s="144" t="s">
        <v>201</v>
      </c>
      <c r="L46" s="144" t="s">
        <v>201</v>
      </c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94" t="s">
        <v>141</v>
      </c>
      <c r="C47" s="142" t="s">
        <v>252</v>
      </c>
      <c r="D47" s="90" t="s">
        <v>240</v>
      </c>
      <c r="E47" s="143"/>
      <c r="F47" s="144">
        <v>0.59</v>
      </c>
      <c r="G47" s="144"/>
      <c r="H47" s="144"/>
      <c r="I47" s="144"/>
      <c r="J47" s="144"/>
      <c r="K47" s="144"/>
      <c r="L47" s="144"/>
      <c r="M47" s="141"/>
      <c r="N47" s="141"/>
      <c r="O47" s="141"/>
      <c r="P47" s="141"/>
      <c r="Q47" s="141"/>
      <c r="R47" s="141"/>
      <c r="S47" s="141"/>
      <c r="T47" s="141"/>
    </row>
    <row r="48" spans="2:30" x14ac:dyDescent="0.25">
      <c r="B48" s="88" t="s">
        <v>141</v>
      </c>
      <c r="C48" s="88" t="s">
        <v>253</v>
      </c>
      <c r="D48" s="88" t="s">
        <v>240</v>
      </c>
      <c r="F48" s="88">
        <v>0.41136476969163144</v>
      </c>
      <c r="G48" s="88">
        <v>0.23585310113354352</v>
      </c>
      <c r="H48" s="88">
        <v>7.3264515611810618E-2</v>
      </c>
      <c r="I48" s="88">
        <v>1.9847450096360672E-2</v>
      </c>
      <c r="J48" s="88">
        <v>5.1598550415568115E-3</v>
      </c>
      <c r="K48" s="88">
        <v>1.3267245984926927E-3</v>
      </c>
      <c r="L48" s="88">
        <v>3.4015961616990566E-4</v>
      </c>
    </row>
    <row r="49" spans="2:12" x14ac:dyDescent="0.25">
      <c r="B49" s="88" t="s">
        <v>143</v>
      </c>
      <c r="C49" s="88" t="s">
        <v>254</v>
      </c>
      <c r="D49" s="88" t="s">
        <v>206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B50" s="88" t="s">
        <v>151</v>
      </c>
      <c r="C50" s="88" t="s">
        <v>46</v>
      </c>
      <c r="D50" s="88" t="s">
        <v>151</v>
      </c>
      <c r="F50" s="88">
        <v>1</v>
      </c>
      <c r="G50" s="88">
        <v>1</v>
      </c>
      <c r="H50" s="88">
        <v>1</v>
      </c>
      <c r="I50" s="88">
        <v>1</v>
      </c>
      <c r="J50" s="88">
        <v>1</v>
      </c>
      <c r="K50" s="88">
        <v>1</v>
      </c>
      <c r="L50" s="88">
        <v>1</v>
      </c>
    </row>
    <row r="51" spans="2:12" x14ac:dyDescent="0.25">
      <c r="H51" s="178"/>
      <c r="I51" s="179"/>
    </row>
    <row r="54" spans="2:12" x14ac:dyDescent="0.25">
      <c r="G54" s="145"/>
      <c r="I54" s="145"/>
    </row>
    <row r="55" spans="2:12" x14ac:dyDescent="0.25">
      <c r="G55" s="145"/>
    </row>
    <row r="56" spans="2:12" s="94" customFormat="1" x14ac:dyDescent="0.25">
      <c r="H56" s="143"/>
    </row>
    <row r="57" spans="2:12" x14ac:dyDescent="0.25">
      <c r="F57" s="145"/>
      <c r="G57" s="145"/>
    </row>
    <row r="59" spans="2:12" x14ac:dyDescent="0.25">
      <c r="F59" s="145"/>
    </row>
    <row r="60" spans="2:12" x14ac:dyDescent="0.25">
      <c r="F60" s="145"/>
      <c r="H60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6" zoomScale="226" zoomScaleNormal="226" workbookViewId="0">
      <selection activeCell="E10" sqref="E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2026-04-02T08:29:31Z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