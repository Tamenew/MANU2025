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173AB996-058D-4CD2-98E0-360E614A324F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43" l="1"/>
  <c r="C25" i="143"/>
  <c r="B25" i="143"/>
  <c r="D23" i="143"/>
  <c r="C23" i="143"/>
  <c r="B23" i="143"/>
  <c r="B22" i="143"/>
  <c r="B24" i="143"/>
  <c r="O26" i="137"/>
  <c r="D26" i="137"/>
  <c r="AB7" i="143"/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E2" i="145"/>
  <c r="D21" i="143"/>
  <c r="D23" i="137"/>
  <c r="D24" i="137"/>
  <c r="D25" i="137"/>
  <c r="D18" i="13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P25" i="137"/>
  <c r="K10" i="144"/>
  <c r="H11" i="144"/>
  <c r="H13" i="144" s="1"/>
  <c r="G11" i="144"/>
  <c r="G13" i="144" s="1"/>
  <c r="F2" i="143"/>
  <c r="E2" i="143"/>
  <c r="AB20" i="143" s="1"/>
  <c r="C2" i="143"/>
  <c r="AA7" i="143" s="1"/>
  <c r="B2" i="143"/>
  <c r="Z7" i="143" s="1"/>
  <c r="F2" i="145"/>
  <c r="G4" i="137"/>
  <c r="G3" i="137"/>
  <c r="C20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B9" i="146" l="1"/>
  <c r="D24" i="143"/>
  <c r="D22" i="143"/>
  <c r="J13" i="133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<sst xmlns="http://schemas.openxmlformats.org/spreadsheetml/2006/main" count="779" uniqueCount="266">
  <si>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</si>
  <si>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</si>
  <si>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</si>
  <si>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</si>
  <si>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</si>
  <si>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</si>
  <si>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</si>
  <si>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</si>
  <si>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</si>
  <si>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</si>
  <si>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</si>
  <si>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</si>
  <si>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</si>
  <si>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</si>
  <si>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</si>
  <si>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</si>
  <si>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</si>
  <si>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</si>
  <si>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</si>
  <si>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</si>
  <si>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</si>
  <si>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</si>
  <si>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</si>
  <si>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</si>
  <si>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</si>
  <si>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</si>
  <si>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</si>
  <si>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</si>
  <si>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</si>
  <si>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</si>
  <si>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</si>
  <si>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</si>
  <si>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</si>
  <si>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</si>
  <si>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</si>
  <si>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</si>
  <si>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</si>
  <si>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</si>
  <si>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</si>
  <si>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</si>
  <si>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</si>
  <si>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</si>
  <si>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</si>
  <si>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</si>
  <si>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</si>
  <si>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</si>
  <si>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</si>
  <si>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</si>
  <si>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</si>
  <si>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</si>
  <si>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</si>
  <si>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</si>
  <si>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</si>
  <si>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</si>
  <si>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</si>
  <si>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</si>
  <si>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</si>
  <si>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</si>
  <si>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</si>
  <si>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</si>
  <si>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</si>
  <si>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</si>
  <si>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</si>
  <si>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</si>
  <si>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</si>
  <si>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</si>
  <si>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</si>
  <si>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</si>
  <si>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</si>
  <si>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</si>
  <si>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</si>
  <si>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</si>
  <si>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</si>
  <si>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</si>
  <si>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</si>
  <si>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</si>
  <si>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</si>
  <si>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</si>
  <si>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</si>
  <si>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</si>
  <si>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</si>
  <si>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</si>
  <si>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</si>
  <si>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</si>
  <si>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</si>
  <si>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</si>
  <si>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</si>
  <si>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</si>
  <si>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</si>
  <si>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</si>
  <si>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</si>
  <si>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</si>
  <si>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</si>
  <si>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</si>
  <si>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</si>
  <si>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</si>
  <si>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</si>
  <si>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</si>
  <si>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</si>
  <si>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</si>
  <si>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</si>
  <si>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</si>
  <si>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</si>
  <si>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</si>
  <si>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</si>
  <si>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</si>
  <si>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</si>
  <si>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</si>
  <si>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</si>
  <si>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</si>
  <si>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</si>
  <si>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</si>
  <si>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</si>
  <si>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</si>
  <si>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</si>
  <si>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</si>
  <si>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</si>
  <si>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</si>
  <si>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</si>
  <si>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</si>
  <si>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</si>
  <si>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</si>
  <si>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</si>
  <si>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</si>
  <si>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</si>
  <si>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</si>
  <si>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</si>
  <si>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</si>
  <si>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</si>
  <si>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</si>
  <si>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</si>
  <si>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</si>
  <si>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</si>
  <si>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</si>
  <si>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</si>
  <si>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</si>
  <si>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</si>
  <si>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</si>
  <si>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</si>
  <si>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</si>
  <si>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</si>
  <si>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</si>
  <si>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</si>
  <si>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</si>
  <si>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</si>
  <si>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</si>
  <si>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</si>
  <si>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</si>
  <si>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</si>
  <si>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</si>
  <si>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</si>
  <si>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</si>
  <si>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</si>
  <si>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</si>
  <si>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</si>
  <si>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</si>
  <si>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</si>
  <si>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</si>
  <si>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</si>
  <si>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</si>
  <si>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</si>
  <si>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</si>
  <si>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</si>
  <si>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</si>
  <si>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</si>
  <si>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</si>
  <si>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</si>
  <si>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</si>
  <si>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</si>
  <si>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</si>
  <si>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</si>
  <si>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</si>
  <si>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</si>
  <si>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</si>
  <si>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</si>
  <si>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</si>
  <si>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</si>
  <si>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</si>
  <si>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</si>
  <si>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</si>
  <si>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</si>
  <si>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</si>
  <si>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</si>
  <si>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</si>
  <si>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</si>
  <si>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</si>
  <si>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</si>
  <si>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</si>
  <si>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</si>
  <si>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</si>
  <si>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</si>
  <si>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</si>
  <si>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</si>
  <si>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</si>
  <si>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</si>
  <si>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</si>
  <si>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</si>
  <si>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</si>
  <si>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</si>
  <si>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</si>
  <si>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</si>
  <si>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</si>
  <si>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</si>
  <si>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</si>
  <si>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</si>
  <si>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</si>
  <si>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</si>
  <si>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</si>
  <si>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</si>
  <si>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</si>
  <si>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</si>
  <si>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</si>
  <si>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</si>
  <si>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</si>
  <si>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</si>
  <si>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</si>
  <si>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</si>
  <si>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</si>
  <si>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</si>
  <si>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</si>
  <si>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</si>
  <si>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</si>
  <si>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</si>
  <si>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</si>
  <si>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</si>
  <si>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</si>
  <si>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</si>
  <si>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</si>
  <si>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</si>
  <si>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</si>
  <si>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</si>
  <si>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</si>
  <si>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</si>
  <si>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</si>
  <si>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</si>
  <si>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</si>
  <si>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</si>
  <si>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</si>
  <si>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</si>
  <si>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</si>
  <si>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</si>
  <si>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</si>
  <si>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</si>
  <si>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</si>
  <si>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</si>
  <si>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</si>
  <si>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</si>
  <si>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</si>
  <si>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</si>
  <si>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</si>
  <si>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</si>
  <si>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</si>
  <si>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</si>
  <si>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</si>
  <si>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</si>
  <si>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</si>
  <si>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</si>
  <si>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</si>
  <si>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</si>
  <si>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</si>
  <si>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</si>
  <si>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</si>
  <si>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</si>
  <si>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</t>
  </si>
  <si>
    <t xml:space="preserve">Aggrigate electricity demand </t>
  </si>
  <si>
    <t>kte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</si>
</sst>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A6"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zoomScale="84" zoomScaleNormal="84" workbookViewId="0">
      <selection activeCell="Q6" sqref="Q6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248</v>
      </c>
      <c r="P2" s="7" t="s">
        <v>148</v>
      </c>
      <c r="Q2" s="7" t="s">
        <v>265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245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246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247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F1" zoomScale="148" zoomScaleNormal="148" workbookViewId="0">
      <selection activeCell="E26" sqref="E26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263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7"/>
      <c r="M5" s="64" t="s">
        <v>74</v>
      </c>
      <c r="N5" s="68"/>
      <c r="O5" s="136" t="s">
        <v>202</v>
      </c>
      <c r="P5" s="64" t="s">
        <v>152</v>
      </c>
      <c r="Q5" s="64" t="s">
        <v>148</v>
      </c>
      <c r="R5" s="64"/>
      <c r="S5" s="137" t="s">
        <v>201</v>
      </c>
      <c r="T5" s="64"/>
      <c r="U5" s="64"/>
    </row>
    <row r="6" spans="2:21" ht="15.6" x14ac:dyDescent="0.3">
      <c r="C6" s="138"/>
      <c r="D6" s="138"/>
      <c r="E6" s="77"/>
      <c r="F6" s="138"/>
      <c r="G6" s="77"/>
      <c r="M6" s="64" t="s">
        <v>74</v>
      </c>
      <c r="N6" s="68"/>
      <c r="O6" s="136" t="s">
        <v>203</v>
      </c>
      <c r="P6" s="64" t="s">
        <v>153</v>
      </c>
      <c r="Q6" s="64" t="s">
        <v>148</v>
      </c>
      <c r="R6" s="64"/>
      <c r="S6" s="137" t="s">
        <v>201</v>
      </c>
      <c r="T6" s="64"/>
      <c r="U6" s="64"/>
    </row>
    <row r="7" spans="2:21" ht="15.6" x14ac:dyDescent="0.3">
      <c r="C7" s="138"/>
      <c r="D7" s="138"/>
      <c r="E7" s="77"/>
      <c r="F7" s="138"/>
      <c r="G7" s="77"/>
      <c r="M7" s="64" t="s">
        <v>74</v>
      </c>
      <c r="N7" s="68"/>
      <c r="O7" s="136" t="s">
        <v>204</v>
      </c>
      <c r="P7" s="64" t="s">
        <v>154</v>
      </c>
      <c r="Q7" s="64" t="s">
        <v>148</v>
      </c>
      <c r="R7" s="64"/>
      <c r="S7" s="137" t="s">
        <v>201</v>
      </c>
      <c r="T7" s="64"/>
      <c r="U7" s="64"/>
    </row>
    <row r="8" spans="2:21" ht="15.6" x14ac:dyDescent="0.3">
      <c r="C8" s="138"/>
      <c r="D8" s="138"/>
      <c r="E8" s="77"/>
      <c r="F8" s="138"/>
      <c r="G8" s="77"/>
      <c r="M8" s="136" t="s">
        <v>46</v>
      </c>
      <c r="N8" s="68"/>
      <c r="O8" s="136" t="s">
        <v>46</v>
      </c>
      <c r="P8" s="136" t="s">
        <v>264</v>
      </c>
      <c r="Q8" s="64" t="s">
        <v>148</v>
      </c>
      <c r="R8" s="64"/>
      <c r="S8" s="137" t="s">
        <v>201</v>
      </c>
      <c r="T8" s="64"/>
      <c r="U8" s="64"/>
    </row>
    <row r="9" spans="2:21" ht="15.6" x14ac:dyDescent="0.3">
      <c r="C9" s="138"/>
      <c r="D9" s="138"/>
      <c r="E9" s="77"/>
      <c r="F9" s="138"/>
      <c r="G9" s="7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249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201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201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201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t="s">
        <v>46</v>
      </c>
      <c r="N26" s="138"/>
      <c r="O26" s="68" t="str">
        <f>$M$26&amp;$C$4</f>
        <v>ELCGRID</v>
      </c>
      <c r="P26" s="140" t="s">
        <v>199</v>
      </c>
      <c r="Q26" t="s">
        <v>148</v>
      </c>
      <c r="S26" s="137" t="s">
        <v>201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opLeftCell="J13" zoomScale="118" zoomScaleNormal="118" workbookViewId="0">
      <selection activeCell="Q30" sqref="Q30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210</v>
      </c>
      <c r="AA5" s="142" t="s">
        <v>208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200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244</v>
      </c>
      <c r="AA8" s="142" t="s">
        <v>209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211</v>
      </c>
      <c r="F17" s="96" t="s">
        <v>260</v>
      </c>
      <c r="G17" s="96" t="s">
        <v>239</v>
      </c>
      <c r="H17" s="96" t="s">
        <v>240</v>
      </c>
      <c r="I17" s="96" t="s">
        <v>241</v>
      </c>
      <c r="J17" s="96" t="s">
        <v>242</v>
      </c>
      <c r="K17" s="96" t="s">
        <v>243</v>
      </c>
      <c r="L17" s="96" t="s">
        <v>259</v>
      </c>
      <c r="M17" s="95" t="s">
        <v>102</v>
      </c>
      <c r="N17" s="95" t="s">
        <v>103</v>
      </c>
      <c r="O17" s="95" t="s">
        <v>104</v>
      </c>
      <c r="P17" s="95" t="s">
        <v>206</v>
      </c>
      <c r="Q17" s="95" t="s">
        <v>156</v>
      </c>
      <c r="R17" s="95" t="s">
        <v>157</v>
      </c>
      <c r="S17" s="95" t="s">
        <v>251</v>
      </c>
      <c r="T17" s="95" t="s">
        <v>149</v>
      </c>
      <c r="U17" s="95" t="s">
        <v>236</v>
      </c>
      <c r="V17" s="95" t="s">
        <v>254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207</v>
      </c>
      <c r="Q18" s="97" t="s">
        <v>158</v>
      </c>
      <c r="R18" s="98" t="s">
        <v>159</v>
      </c>
      <c r="S18" s="98" t="s">
        <v>252</v>
      </c>
      <c r="T18" s="97" t="s">
        <v>150</v>
      </c>
      <c r="U18" s="97" t="s">
        <v>237</v>
      </c>
      <c r="V18" s="97" t="s">
        <v>255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205</v>
      </c>
      <c r="G19" s="100" t="s">
        <v>205</v>
      </c>
      <c r="H19" s="100" t="s">
        <v>205</v>
      </c>
      <c r="I19" s="100" t="s">
        <v>205</v>
      </c>
      <c r="J19" s="100" t="s">
        <v>205</v>
      </c>
      <c r="K19" s="100" t="s">
        <v>205</v>
      </c>
      <c r="L19" s="100" t="s">
        <v>205</v>
      </c>
      <c r="M19" s="100"/>
      <c r="N19" s="101"/>
      <c r="O19" s="100" t="s">
        <v>108</v>
      </c>
      <c r="P19" s="100"/>
      <c r="Q19" s="100" t="s">
        <v>250</v>
      </c>
      <c r="R19" s="100" t="s">
        <v>253</v>
      </c>
      <c r="S19" s="100" t="s">
        <v>262</v>
      </c>
      <c r="T19" s="100"/>
      <c r="U19" s="100" t="s">
        <v>238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201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201</v>
      </c>
      <c r="AE21" s="154"/>
      <c r="AF21" s="90"/>
    </row>
    <row r="22" spans="2:32" x14ac:dyDescent="0.25">
      <c r="B22" s="88" t="str">
        <f>Z$20</f>
        <v>Kiln</v>
      </c>
      <c r="D22" s="90" t="str">
        <f>Z$7</f>
        <v>MANCO2</v>
      </c>
      <c r="E22" s="105"/>
      <c r="F22" s="102"/>
      <c r="G22" s="102"/>
      <c r="H22" s="102"/>
      <c r="I22" s="102"/>
      <c r="J22" s="102"/>
      <c r="K22" s="102"/>
      <c r="L22" s="102"/>
      <c r="U22" s="104">
        <v>0.34100000000000003</v>
      </c>
      <c r="V22" s="104"/>
      <c r="W22" s="110"/>
      <c r="X22" s="88" t="s">
        <v>109</v>
      </c>
      <c r="Z22" s="145" t="s">
        <v>261</v>
      </c>
      <c r="AA22" s="88" t="s">
        <v>198</v>
      </c>
      <c r="AB22" s="88" t="s">
        <v>148</v>
      </c>
      <c r="AC22" s="88" t="s">
        <v>142</v>
      </c>
      <c r="AD22" s="154" t="s">
        <v>201</v>
      </c>
    </row>
    <row r="23" spans="2:32" s="141" customFormat="1" x14ac:dyDescent="0.25">
      <c r="B23" s="94" t="str">
        <f>Z21</f>
        <v>Boiler</v>
      </c>
      <c r="C23" s="142" t="str">
        <f>PRI_Sector_Fuels!O7</f>
        <v>MANOILIMP</v>
      </c>
      <c r="D23" s="90" t="str">
        <f>Z5</f>
        <v>MANHEAT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03">
        <v>0.8</v>
      </c>
      <c r="N23" s="105">
        <v>1</v>
      </c>
      <c r="O23" s="104">
        <v>25</v>
      </c>
      <c r="P23" s="121"/>
      <c r="Q23" s="188">
        <v>62.9</v>
      </c>
      <c r="R23" s="189">
        <v>2.2999999999999998</v>
      </c>
      <c r="S23" s="189">
        <v>1.82</v>
      </c>
      <c r="T23" s="104">
        <v>8.76</v>
      </c>
      <c r="V23" s="104"/>
      <c r="AB23" s="88"/>
      <c r="AC23" s="88"/>
      <c r="AD23" s="154"/>
    </row>
    <row r="24" spans="2:32" s="141" customFormat="1" x14ac:dyDescent="0.25">
      <c r="B24" s="94" t="str">
        <f>Z21</f>
        <v>Boiler</v>
      </c>
      <c r="C24" s="142"/>
      <c r="D24" s="154" t="str">
        <f>Z7</f>
        <v>MANCO2</v>
      </c>
      <c r="E24" s="143"/>
      <c r="F24" s="144"/>
      <c r="G24" s="144"/>
      <c r="H24" s="144"/>
      <c r="I24" s="144"/>
      <c r="J24" s="144"/>
      <c r="K24" s="144"/>
      <c r="L24" s="144"/>
      <c r="R24" s="110"/>
      <c r="S24" s="110"/>
      <c r="T24" s="104"/>
      <c r="U24" s="104">
        <v>0.25900000000000001</v>
      </c>
      <c r="V24" s="104"/>
      <c r="AB24" s="94"/>
      <c r="AC24" s="94"/>
    </row>
    <row r="25" spans="2:32" s="141" customFormat="1" x14ac:dyDescent="0.25">
      <c r="B25" s="94" t="str">
        <f>Z22</f>
        <v>MANELC_TECH</v>
      </c>
      <c r="C25" s="142" t="str">
        <f>PRI_Sector_Fuels!O8</f>
        <v>ELC</v>
      </c>
      <c r="D25" s="154" t="str">
        <f>Z6</f>
        <v>MANELC</v>
      </c>
      <c r="E25" s="143"/>
      <c r="F25" s="144">
        <v>1</v>
      </c>
      <c r="G25" s="144"/>
      <c r="H25" s="144"/>
      <c r="I25" s="144"/>
      <c r="J25" s="144"/>
      <c r="K25" s="144"/>
      <c r="L25" s="144"/>
      <c r="M25" s="141">
        <v>1</v>
      </c>
      <c r="N25" s="141">
        <v>1</v>
      </c>
      <c r="O25" s="141">
        <v>50</v>
      </c>
      <c r="R25" s="110"/>
      <c r="S25" s="110"/>
      <c r="T25" s="104">
        <v>8.76</v>
      </c>
      <c r="U25" s="104"/>
      <c r="V25" s="104">
        <v>1</v>
      </c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205</v>
      </c>
      <c r="G45" s="144" t="s">
        <v>205</v>
      </c>
      <c r="H45" s="144" t="s">
        <v>205</v>
      </c>
      <c r="I45" s="144" t="s">
        <v>205</v>
      </c>
      <c r="J45" s="144" t="s">
        <v>205</v>
      </c>
      <c r="K45" s="144" t="s">
        <v>205</v>
      </c>
      <c r="L45" s="144" t="s">
        <v>205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256</v>
      </c>
      <c r="D46" s="90" t="s">
        <v>244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257</v>
      </c>
      <c r="D47" s="88" t="s">
        <v>244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258</v>
      </c>
      <c r="D48" s="88" t="s">
        <v>210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19" zoomScale="226" zoomScaleNormal="226" workbookViewId="0">
      <selection activeCell="C11" sqref="C11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210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212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212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212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244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213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213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213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214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214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214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215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215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215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216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216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216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217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217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217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218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218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218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219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219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219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220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220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220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221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221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221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222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222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222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223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223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223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224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224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224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225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225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225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226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226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226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227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227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227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228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228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228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229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229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229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230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230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230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231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231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231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232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232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232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233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233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233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234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234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234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235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235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235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abSelected="1" workbookViewId="0">
      <selection activeCell="K20" sqref="K20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2026-03-16T13:01:25Z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